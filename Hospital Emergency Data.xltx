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defaultThemeVersion="166925"/>
  <mc:AlternateContent xmlns:mc="http://schemas.openxmlformats.org/markup-compatibility/2006">
    <mc:Choice Requires="x15">
      <x15ac:absPath xmlns:x15ac="http://schemas.microsoft.com/office/spreadsheetml/2010/11/ac" url="D:\DA\EXCEL\Project\"/>
    </mc:Choice>
  </mc:AlternateContent>
  <xr:revisionPtr revIDLastSave="0" documentId="8_{3AA90363-6711-4D97-A554-3D8EB4B26F72}" xr6:coauthVersionLast="47" xr6:coauthVersionMax="47" xr10:uidLastSave="{00000000-0000-0000-0000-000000000000}"/>
  <bookViews>
    <workbookView xWindow="-108" yWindow="-108" windowWidth="23256" windowHeight="12456" activeTab="1" xr2:uid="{F1FEFA38-2820-412C-A25D-9F5C48DC8FCE}"/>
  </bookViews>
  <sheets>
    <sheet name="Pivot Report" sheetId="1" r:id="rId1"/>
    <sheet name="Dashboard" sheetId="2" r:id="rId2"/>
    <sheet name="Daily ER No of Patient" sheetId="3" r:id="rId3"/>
    <sheet name="Average Wait Time" sheetId="4" r:id="rId4"/>
    <sheet name="Satisfaction Score" sheetId="5" r:id="rId5"/>
  </sheets>
  <definedNames>
    <definedName name="Slicer_Date__Month">#N/A</definedName>
    <definedName name="Slicer_Date_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s>
  <extLst>
    <ext xmlns:x14="http://schemas.microsoft.com/office/spreadsheetml/2009/9/main" uri="{876F7934-8845-4945-9796-88D515C7AA90}">
      <x14:pivotCaches>
        <pivotCache cacheId="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32544589-718f-4b1d-9bda-13947e2b6fbc" name="Hospital Emergency Room Data" connection="Query - Hospital Emergency Room Data"/>
          <x15:modelTable id="Calendar_Table_b38144f1-c618-4b55-a9a6-f2e499b06657"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29" i="1" l="1"/>
  <c r="C29" i="1"/>
  <c r="B28" i="1"/>
  <c r="C28" i="1"/>
  <c r="A28" i="1"/>
  <c r="A2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644E67-A18E-4E72-B7B0-BD5EAC38DA93}" name="Query - Calendar_Table" description="Connection to the 'Calendar_Table' query in the workbook." type="100" refreshedVersion="8" minRefreshableVersion="5">
    <extLst>
      <ext xmlns:x15="http://schemas.microsoft.com/office/spreadsheetml/2010/11/main" uri="{DE250136-89BD-433C-8126-D09CA5730AF9}">
        <x15:connection id="52e89181-ad48-4ace-bfbb-172bdd8d33ce"/>
      </ext>
    </extLst>
  </connection>
  <connection id="2" xr16:uid="{21F9BD70-441D-49BF-A1CE-4FC04AF37376}"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ebbaeb3f-eaf8-4363-9d0d-ffe1dfed28e8"/>
      </ext>
    </extLst>
  </connection>
  <connection id="3" xr16:uid="{94DBF692-230E-4ED0-9BAC-ADCFADE1C55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<sst xmlns="http://schemas.openxmlformats.org/spreadsheetml/2006/main" count="153" uniqueCount="74">
  <si>
    <t>Distinct Count of Patient Id</t>
  </si>
  <si>
    <t>No. of patient</t>
  </si>
  <si>
    <t>Average of Patient Waittime</t>
  </si>
  <si>
    <t>Average of Patient Satisfaction Score</t>
  </si>
  <si>
    <t>Row Labels</t>
  </si>
  <si>
    <t>Grand Total</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</si>
  <si>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</si>
  <si>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</si>
  <si>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</si>
  <si>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</si>
  <si>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</si>
  <si>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</si>
  <si>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</si>
  <si>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</si>
  <si>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</si>
  <si>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</si>
  <si>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</si>
  <si>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</si>
  <si>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</si>
  <si>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</si>
  <si>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</si>
  <si>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</si>
  <si>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</si>
  <si>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</si>
  <si>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</si>
  <si>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</si>
  <si>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</si>
  <si>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</si>
  <si>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</si>
  <si>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</si>
  <si>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</si>
  <si>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</si>
  <si>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</si>
  <si>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</si>
  <si>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</si>
  <si>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</si>
  <si>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No of Patients</t>
  </si>
  <si>
    <t>Average Wait Time</t>
  </si>
  <si>
    <t>Satisfaction Score</t>
  </si>
  <si>
    <t>Count of Patient Attend Status</t>
  </si>
  <si>
    <t>Count of Patient Admission Flag</t>
  </si>
  <si>
    <t>Admitted</t>
  </si>
  <si>
    <t>Not Admitted</t>
  </si>
  <si>
    <t>Count of Patient Admission Flag2</t>
  </si>
  <si>
    <t>Admission Status</t>
  </si>
  <si>
    <t>Patient</t>
  </si>
  <si>
    <t>% Status</t>
  </si>
  <si>
    <t>0-09</t>
  </si>
  <si>
    <t>10-19</t>
  </si>
  <si>
    <t>20-29</t>
  </si>
  <si>
    <t>30-39</t>
  </si>
  <si>
    <t>40-49</t>
  </si>
  <si>
    <t>50-59</t>
  </si>
  <si>
    <t>60-69</t>
  </si>
  <si>
    <t>70-79</t>
  </si>
  <si>
    <t>Count of Age Group</t>
  </si>
  <si>
    <t>Age group analysis</t>
  </si>
  <si>
    <t>Ontime</t>
  </si>
  <si>
    <t>Delay</t>
  </si>
  <si>
    <t>Attended Status</t>
  </si>
  <si>
    <t>Female</t>
  </si>
  <si>
    <t>Male</t>
  </si>
  <si>
    <t>Count of Patient Gender</t>
  </si>
  <si>
    <t xml:space="preserve">Gender Wise </t>
  </si>
  <si>
    <t>Cardiology</t>
  </si>
  <si>
    <t>Gastroenterology</t>
  </si>
  <si>
    <t>General Practice</t>
  </si>
  <si>
    <t>Neurology</t>
  </si>
  <si>
    <t>None</t>
  </si>
  <si>
    <t>Orthopedics</t>
  </si>
  <si>
    <t>Physiotherapy</t>
  </si>
  <si>
    <t>Renal</t>
  </si>
  <si>
    <t>Count of Department Referral</t>
  </si>
  <si>
    <t>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</si>
</sst>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1" tint="0.34998626667073579"/>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pivotButton="1"/>
    <xf numFmtId="2" fontId="0" fillId="0" borderId="0" xfId="0" applyNumberFormat="1"/>
    <xf numFmtId="0" fontId="0" fillId="2" borderId="0" xfId="0" applyFill="1"/>
    <xf numFmtId="0" fontId="0" fillId="0" borderId="0" xfId="0" applyAlignment="1">
      <alignment horizontal="left"/>
    </xf>
    <xf numFmtId="0" fontId="0" fillId="0" borderId="0" xfId="0" applyNumberFormat="1"/>
    <xf numFmtId="0" fontId="0" fillId="5" borderId="0" xfId="0" applyFill="1"/>
    <xf numFmtId="1" fontId="0" fillId="0" borderId="0" xfId="0" applyNumberFormat="1"/>
    <xf numFmtId="10" fontId="0" fillId="0" borderId="0" xfId="0" applyNumberFormat="1"/>
    <xf numFmtId="0" fontId="2" fillId="4" borderId="1" xfId="0" applyFont="1" applyFill="1" applyBorder="1" applyAlignment="1">
      <alignment horizontal="center"/>
    </xf>
    <xf numFmtId="0" fontId="0" fillId="3" borderId="0" xfId="0" applyFill="1" applyAlignment="1">
      <alignment horizontal="center"/>
    </xf>
    <xf numFmtId="9" fontId="0" fillId="3" borderId="0" xfId="1" applyFont="1" applyFill="1" applyAlignment="1">
      <alignment horizontal="center"/>
    </xf>
  </cellXfs>
  <cellStyles count="2">
    <cellStyle name="Normal" xfId="0" builtinId="0"/>
    <cellStyle name="Percent" xfId="1" builtinId="5"/>
  </cellStyles>
  <dxfs count="13">
    <dxf>
      <numFmt numFmtId="14" formatCode="0.00%"/>
    </dxf>
    <dxf>
      <numFmt numFmtId="2" formatCode="0.00"/>
    </dxf>
    <dxf>
      <numFmt numFmtId="1" formatCode="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2" formatCode="0.00"/>
    </dxf>
    <dxf>
      <font>
        <b/>
        <color theme="1"/>
      </font>
      <border>
        <bottom style="thin">
          <color theme="5"/>
        </bottom>
        <vertical/>
        <horizontal/>
      </border>
    </dxf>
    <dxf>
      <font>
        <sz val="8"/>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My Style" pivot="0" table="0" count="10" xr9:uid="{194654DD-9EEB-4646-93DD-C03A12EC5F53}">
      <tableStyleElement type="wholeTable" dxfId="12"/>
      <tableStyleElement type="headerRow" dxfId="11"/>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2.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Report!PivotTable7</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pivotFmt>
      <c:pivotFmt>
        <c:idx val="3"/>
      </c:pivotFmt>
    </c:pivotFmts>
    <c:plotArea>
      <c:layout>
        <c:manualLayout>
          <c:layoutTarget val="inner"/>
          <c:xMode val="edge"/>
          <c:yMode val="edge"/>
          <c:x val="4.7441317867255209E-2"/>
          <c:y val="0.32482622906514191"/>
          <c:w val="0.77178807982930131"/>
          <c:h val="0.58399702710235379"/>
        </c:manualLayout>
      </c:layout>
      <c:barChart>
        <c:barDir val="bar"/>
        <c:grouping val="clustered"/>
        <c:varyColors val="0"/>
        <c:ser>
          <c:idx val="0"/>
          <c:order val="0"/>
          <c:tx>
            <c:strRef>
              <c:f>'Pivot Report'!$B$17</c:f>
              <c:strCache>
                <c:ptCount val="1"/>
                <c:pt idx="0">
                  <c:v>Count of Patient Admission Flag</c:v>
                </c:pt>
              </c:strCache>
            </c:strRef>
          </c:tx>
          <c:spPr>
            <a:solidFill>
              <a:schemeClr val="accent1"/>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Report'!$A$18:$A$20</c:f>
              <c:strCache>
                <c:ptCount val="2"/>
                <c:pt idx="0">
                  <c:v>Admitted</c:v>
                </c:pt>
                <c:pt idx="1">
                  <c:v>Not Admitted</c:v>
                </c:pt>
              </c:strCache>
            </c:strRef>
          </c:cat>
          <c:val>
            <c:numRef>
              <c:f>'Pivot Report'!$B$18:$B$20</c:f>
              <c:numCache>
                <c:formatCode>0.00</c:formatCode>
                <c:ptCount val="2"/>
                <c:pt idx="0">
                  <c:v>237</c:v>
                </c:pt>
                <c:pt idx="1">
                  <c:v>242</c:v>
                </c:pt>
              </c:numCache>
            </c:numRef>
          </c:val>
          <c:extLst>
            <c:ext xmlns:c16="http://schemas.microsoft.com/office/drawing/2014/chart" uri="{C3380CC4-5D6E-409C-BE32-E72D297353CC}">
              <c16:uniqueId val="{00000005-E4C0-48C4-89CE-A2C4E3A663D7}"/>
            </c:ext>
          </c:extLst>
        </c:ser>
        <c:ser>
          <c:idx val="1"/>
          <c:order val="1"/>
          <c:tx>
            <c:strRef>
              <c:f>'Pivot Report'!$C$17</c:f>
              <c:strCache>
                <c:ptCount val="1"/>
                <c:pt idx="0">
                  <c:v>Count of Patient Admission Flag2</c:v>
                </c:pt>
              </c:strCache>
            </c:strRef>
          </c:tx>
          <c:spPr>
            <a:solidFill>
              <a:schemeClr val="accent2"/>
            </a:solidFill>
            <a:ln>
              <a:noFill/>
            </a:ln>
            <a:effectLst/>
          </c:spPr>
          <c:invertIfNegative val="0"/>
          <c:cat>
            <c:strRef>
              <c:f>'Pivot Report'!$A$18:$A$20</c:f>
              <c:strCache>
                <c:ptCount val="2"/>
                <c:pt idx="0">
                  <c:v>Admitted</c:v>
                </c:pt>
                <c:pt idx="1">
                  <c:v>Not Admitted</c:v>
                </c:pt>
              </c:strCache>
            </c:strRef>
          </c:cat>
          <c:val>
            <c:numRef>
              <c:f>'Pivot Report'!$C$18:$C$20</c:f>
              <c:numCache>
                <c:formatCode>0.00%</c:formatCode>
                <c:ptCount val="2"/>
                <c:pt idx="0">
                  <c:v>0.49478079331941544</c:v>
                </c:pt>
                <c:pt idx="1">
                  <c:v>0.50521920668058451</c:v>
                </c:pt>
              </c:numCache>
            </c:numRef>
          </c:val>
          <c:extLst>
            <c:ext xmlns:c16="http://schemas.microsoft.com/office/drawing/2014/chart" uri="{C3380CC4-5D6E-409C-BE32-E72D297353CC}">
              <c16:uniqueId val="{00000006-E4C0-48C4-89CE-A2C4E3A663D7}"/>
            </c:ext>
          </c:extLst>
        </c:ser>
        <c:dLbls>
          <c:showLegendKey val="0"/>
          <c:showVal val="0"/>
          <c:showCatName val="0"/>
          <c:showSerName val="0"/>
          <c:showPercent val="0"/>
          <c:showBubbleSize val="0"/>
        </c:dLbls>
        <c:gapWidth val="0"/>
        <c:axId val="683268623"/>
        <c:axId val="703883055"/>
      </c:barChart>
      <c:catAx>
        <c:axId val="683268623"/>
        <c:scaling>
          <c:orientation val="minMax"/>
        </c:scaling>
        <c:delete val="1"/>
        <c:axPos val="l"/>
        <c:numFmt formatCode="General" sourceLinked="1"/>
        <c:majorTickMark val="none"/>
        <c:minorTickMark val="none"/>
        <c:tickLblPos val="nextTo"/>
        <c:crossAx val="703883055"/>
        <c:crosses val="autoZero"/>
        <c:auto val="1"/>
        <c:lblAlgn val="ctr"/>
        <c:lblOffset val="100"/>
        <c:noMultiLvlLbl val="0"/>
      </c:catAx>
      <c:valAx>
        <c:axId val="703883055"/>
        <c:scaling>
          <c:orientation val="minMax"/>
        </c:scaling>
        <c:delete val="1"/>
        <c:axPos val="b"/>
        <c:numFmt formatCode="0.00" sourceLinked="1"/>
        <c:majorTickMark val="none"/>
        <c:minorTickMark val="none"/>
        <c:tickLblPos val="nextTo"/>
        <c:crossAx val="68326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Report!PivotTable5</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498830309254813E-2"/>
          <c:y val="0.1278622045207676"/>
          <c:w val="0.9361755391989045"/>
          <c:h val="0.8080939326540113"/>
        </c:manualLayout>
      </c:layout>
      <c:areaChart>
        <c:grouping val="standard"/>
        <c:varyColors val="0"/>
        <c:ser>
          <c:idx val="0"/>
          <c:order val="0"/>
          <c:tx>
            <c:strRef>
              <c:f>'Pivot Report'!$H$4</c:f>
              <c:strCache>
                <c:ptCount val="1"/>
                <c:pt idx="0">
                  <c:v>Total</c:v>
                </c:pt>
              </c:strCache>
            </c:strRef>
          </c:tx>
          <c:spPr>
            <a:solidFill>
              <a:schemeClr val="accent1">
                <a:lumMod val="50000"/>
              </a:schemeClr>
            </a:solidFill>
            <a:ln w="25400">
              <a:noFill/>
            </a:ln>
            <a:effectLst/>
          </c:spPr>
          <c:cat>
            <c:strRef>
              <c:f>'Pivot Report'!$G$5:$G$35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Report'!$H$5:$H$35</c:f>
              <c:numCache>
                <c:formatCode>General</c:formatCode>
                <c:ptCount val="30"/>
                <c:pt idx="0">
                  <c:v>19</c:v>
                </c:pt>
                <c:pt idx="1">
                  <c:v>13</c:v>
                </c:pt>
                <c:pt idx="2">
                  <c:v>14</c:v>
                </c:pt>
                <c:pt idx="3">
                  <c:v>9</c:v>
                </c:pt>
                <c:pt idx="4">
                  <c:v>19</c:v>
                </c:pt>
                <c:pt idx="5">
                  <c:v>14</c:v>
                </c:pt>
                <c:pt idx="6">
                  <c:v>11</c:v>
                </c:pt>
                <c:pt idx="7">
                  <c:v>22</c:v>
                </c:pt>
                <c:pt idx="8">
                  <c:v>12</c:v>
                </c:pt>
                <c:pt idx="9">
                  <c:v>13</c:v>
                </c:pt>
                <c:pt idx="10">
                  <c:v>17</c:v>
                </c:pt>
                <c:pt idx="11">
                  <c:v>30</c:v>
                </c:pt>
                <c:pt idx="12">
                  <c:v>13</c:v>
                </c:pt>
                <c:pt idx="13">
                  <c:v>21</c:v>
                </c:pt>
                <c:pt idx="14">
                  <c:v>12</c:v>
                </c:pt>
                <c:pt idx="15">
                  <c:v>17</c:v>
                </c:pt>
                <c:pt idx="16">
                  <c:v>16</c:v>
                </c:pt>
                <c:pt idx="17">
                  <c:v>20</c:v>
                </c:pt>
                <c:pt idx="18">
                  <c:v>18</c:v>
                </c:pt>
                <c:pt idx="19">
                  <c:v>16</c:v>
                </c:pt>
                <c:pt idx="20">
                  <c:v>15</c:v>
                </c:pt>
                <c:pt idx="21">
                  <c:v>18</c:v>
                </c:pt>
                <c:pt idx="22">
                  <c:v>12</c:v>
                </c:pt>
                <c:pt idx="23">
                  <c:v>14</c:v>
                </c:pt>
                <c:pt idx="24">
                  <c:v>18</c:v>
                </c:pt>
                <c:pt idx="25">
                  <c:v>16</c:v>
                </c:pt>
                <c:pt idx="26">
                  <c:v>16</c:v>
                </c:pt>
                <c:pt idx="27">
                  <c:v>16</c:v>
                </c:pt>
                <c:pt idx="28">
                  <c:v>14</c:v>
                </c:pt>
                <c:pt idx="29">
                  <c:v>14</c:v>
                </c:pt>
              </c:numCache>
            </c:numRef>
          </c:val>
          <c:extLst>
            <c:ext xmlns:c16="http://schemas.microsoft.com/office/drawing/2014/chart" uri="{C3380CC4-5D6E-409C-BE32-E72D297353CC}">
              <c16:uniqueId val="{00000000-33CA-46FF-A1BC-1954C96FAA08}"/>
            </c:ext>
          </c:extLst>
        </c:ser>
        <c:dLbls>
          <c:showLegendKey val="0"/>
          <c:showVal val="0"/>
          <c:showCatName val="0"/>
          <c:showSerName val="0"/>
          <c:showPercent val="0"/>
          <c:showBubbleSize val="0"/>
        </c:dLbls>
        <c:axId val="191921359"/>
        <c:axId val="191919919"/>
      </c:areaChart>
      <c:catAx>
        <c:axId val="191921359"/>
        <c:scaling>
          <c:orientation val="minMax"/>
        </c:scaling>
        <c:delete val="1"/>
        <c:axPos val="b"/>
        <c:numFmt formatCode="General" sourceLinked="1"/>
        <c:majorTickMark val="out"/>
        <c:minorTickMark val="none"/>
        <c:tickLblPos val="nextTo"/>
        <c:crossAx val="191919919"/>
        <c:crosses val="autoZero"/>
        <c:auto val="1"/>
        <c:lblAlgn val="ctr"/>
        <c:lblOffset val="100"/>
        <c:noMultiLvlLbl val="0"/>
      </c:catAx>
      <c:valAx>
        <c:axId val="191919919"/>
        <c:scaling>
          <c:orientation val="minMax"/>
        </c:scaling>
        <c:delete val="1"/>
        <c:axPos val="l"/>
        <c:numFmt formatCode="General" sourceLinked="1"/>
        <c:majorTickMark val="none"/>
        <c:minorTickMark val="none"/>
        <c:tickLblPos val="nextTo"/>
        <c:crossAx val="1919213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Report!PivotTable3</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707205750986782E-2"/>
          <c:y val="4.5430968180436064E-2"/>
          <c:w val="0.9540165199143642"/>
          <c:h val="0.91822425727521506"/>
        </c:manualLayout>
      </c:layout>
      <c:areaChart>
        <c:grouping val="standard"/>
        <c:varyColors val="0"/>
        <c:ser>
          <c:idx val="0"/>
          <c:order val="0"/>
          <c:tx>
            <c:strRef>
              <c:f>'Pivot Report'!$K$4</c:f>
              <c:strCache>
                <c:ptCount val="1"/>
                <c:pt idx="0">
                  <c:v>Total</c:v>
                </c:pt>
              </c:strCache>
            </c:strRef>
          </c:tx>
          <c:spPr>
            <a:solidFill>
              <a:schemeClr val="accent1">
                <a:lumMod val="50000"/>
              </a:schemeClr>
            </a:solidFill>
            <a:ln w="25400">
              <a:noFill/>
            </a:ln>
            <a:effectLst/>
          </c:spPr>
          <c:cat>
            <c:strRef>
              <c:f>'Pivot Report'!$J$5:$J$35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Report'!$K$5:$K$35</c:f>
              <c:numCache>
                <c:formatCode>0.00</c:formatCode>
                <c:ptCount val="30"/>
                <c:pt idx="0">
                  <c:v>40.473684210526315</c:v>
                </c:pt>
                <c:pt idx="1">
                  <c:v>29.46153846153846</c:v>
                </c:pt>
                <c:pt idx="2">
                  <c:v>33.928571428571431</c:v>
                </c:pt>
                <c:pt idx="3">
                  <c:v>32.222222222222221</c:v>
                </c:pt>
                <c:pt idx="4">
                  <c:v>35.736842105263158</c:v>
                </c:pt>
                <c:pt idx="5">
                  <c:v>30.142857142857142</c:v>
                </c:pt>
                <c:pt idx="6">
                  <c:v>33.81818181818182</c:v>
                </c:pt>
                <c:pt idx="7">
                  <c:v>31.681818181818183</c:v>
                </c:pt>
                <c:pt idx="8">
                  <c:v>36.416666666666664</c:v>
                </c:pt>
                <c:pt idx="9">
                  <c:v>33.692307692307693</c:v>
                </c:pt>
                <c:pt idx="10">
                  <c:v>39.117647058823529</c:v>
                </c:pt>
                <c:pt idx="11">
                  <c:v>36.93333333333333</c:v>
                </c:pt>
                <c:pt idx="12">
                  <c:v>29.923076923076923</c:v>
                </c:pt>
                <c:pt idx="13">
                  <c:v>31.666666666666668</c:v>
                </c:pt>
                <c:pt idx="14">
                  <c:v>40.25</c:v>
                </c:pt>
                <c:pt idx="15">
                  <c:v>30</c:v>
                </c:pt>
                <c:pt idx="16">
                  <c:v>35</c:v>
                </c:pt>
                <c:pt idx="17">
                  <c:v>41.85</c:v>
                </c:pt>
                <c:pt idx="18">
                  <c:v>33.277777777777779</c:v>
                </c:pt>
                <c:pt idx="19">
                  <c:v>32.9375</c:v>
                </c:pt>
                <c:pt idx="20">
                  <c:v>33.266666666666666</c:v>
                </c:pt>
                <c:pt idx="21">
                  <c:v>34.444444444444443</c:v>
                </c:pt>
                <c:pt idx="22">
                  <c:v>43.416666666666664</c:v>
                </c:pt>
                <c:pt idx="23">
                  <c:v>36.357142857142854</c:v>
                </c:pt>
                <c:pt idx="24">
                  <c:v>40.611111111111114</c:v>
                </c:pt>
                <c:pt idx="25">
                  <c:v>29.875</c:v>
                </c:pt>
                <c:pt idx="26">
                  <c:v>33.5</c:v>
                </c:pt>
                <c:pt idx="27">
                  <c:v>32.5625</c:v>
                </c:pt>
                <c:pt idx="28">
                  <c:v>38.571428571428569</c:v>
                </c:pt>
                <c:pt idx="29">
                  <c:v>32.714285714285715</c:v>
                </c:pt>
              </c:numCache>
            </c:numRef>
          </c:val>
          <c:extLst>
            <c:ext xmlns:c16="http://schemas.microsoft.com/office/drawing/2014/chart" uri="{C3380CC4-5D6E-409C-BE32-E72D297353CC}">
              <c16:uniqueId val="{00000001-EB65-4C7C-8422-F1DCA4AD4339}"/>
            </c:ext>
          </c:extLst>
        </c:ser>
        <c:dLbls>
          <c:showLegendKey val="0"/>
          <c:showVal val="0"/>
          <c:showCatName val="0"/>
          <c:showSerName val="0"/>
          <c:showPercent val="0"/>
          <c:showBubbleSize val="0"/>
        </c:dLbls>
        <c:axId val="678858895"/>
        <c:axId val="678858415"/>
      </c:areaChart>
      <c:catAx>
        <c:axId val="678858895"/>
        <c:scaling>
          <c:orientation val="minMax"/>
        </c:scaling>
        <c:delete val="1"/>
        <c:axPos val="b"/>
        <c:numFmt formatCode="General" sourceLinked="1"/>
        <c:majorTickMark val="out"/>
        <c:minorTickMark val="none"/>
        <c:tickLblPos val="nextTo"/>
        <c:crossAx val="678858415"/>
        <c:crosses val="autoZero"/>
        <c:auto val="1"/>
        <c:lblAlgn val="ctr"/>
        <c:lblOffset val="100"/>
        <c:noMultiLvlLbl val="0"/>
      </c:catAx>
      <c:valAx>
        <c:axId val="678858415"/>
        <c:scaling>
          <c:orientation val="minMax"/>
        </c:scaling>
        <c:delete val="1"/>
        <c:axPos val="l"/>
        <c:numFmt formatCode="0.00" sourceLinked="1"/>
        <c:majorTickMark val="none"/>
        <c:minorTickMark val="none"/>
        <c:tickLblPos val="nextTo"/>
        <c:crossAx val="67885889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Report!PivotTable6</c:name>
    <c:fmtId val="3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3001443001443E-2"/>
          <c:y val="5.7870370370370371E-2"/>
          <c:w val="0.97113997113997119"/>
          <c:h val="0.89583333333333348"/>
        </c:manualLayout>
      </c:layout>
      <c:areaChart>
        <c:grouping val="standard"/>
        <c:varyColors val="0"/>
        <c:ser>
          <c:idx val="0"/>
          <c:order val="0"/>
          <c:tx>
            <c:strRef>
              <c:f>'Pivot Report'!$N$4</c:f>
              <c:strCache>
                <c:ptCount val="1"/>
                <c:pt idx="0">
                  <c:v>Total</c:v>
                </c:pt>
              </c:strCache>
            </c:strRef>
          </c:tx>
          <c:spPr>
            <a:solidFill>
              <a:schemeClr val="accent1">
                <a:lumMod val="50000"/>
              </a:schemeClr>
            </a:solidFill>
            <a:ln w="25400">
              <a:noFill/>
            </a:ln>
            <a:effectLst/>
          </c:spPr>
          <c:cat>
            <c:strRef>
              <c:f>'Pivot Report'!$M$5:$M$35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Report'!$N$5:$N$35</c:f>
              <c:numCache>
                <c:formatCode>0.00</c:formatCode>
                <c:ptCount val="30"/>
                <c:pt idx="0">
                  <c:v>3.8</c:v>
                </c:pt>
                <c:pt idx="1">
                  <c:v>7.75</c:v>
                </c:pt>
                <c:pt idx="2">
                  <c:v>4.5999999999999996</c:v>
                </c:pt>
                <c:pt idx="3">
                  <c:v>6</c:v>
                </c:pt>
                <c:pt idx="4">
                  <c:v>5.5714285714285712</c:v>
                </c:pt>
                <c:pt idx="5">
                  <c:v>2</c:v>
                </c:pt>
                <c:pt idx="6">
                  <c:v>8</c:v>
                </c:pt>
                <c:pt idx="7">
                  <c:v>8</c:v>
                </c:pt>
                <c:pt idx="8">
                  <c:v>5.25</c:v>
                </c:pt>
                <c:pt idx="9">
                  <c:v>6</c:v>
                </c:pt>
                <c:pt idx="10">
                  <c:v>6.5</c:v>
                </c:pt>
                <c:pt idx="11">
                  <c:v>5.75</c:v>
                </c:pt>
                <c:pt idx="12">
                  <c:v>5.6</c:v>
                </c:pt>
                <c:pt idx="13">
                  <c:v>6.5</c:v>
                </c:pt>
                <c:pt idx="14">
                  <c:v>5.666666666666667</c:v>
                </c:pt>
                <c:pt idx="15">
                  <c:v>5.666666666666667</c:v>
                </c:pt>
                <c:pt idx="16">
                  <c:v>5.8</c:v>
                </c:pt>
                <c:pt idx="17">
                  <c:v>4.666666666666667</c:v>
                </c:pt>
                <c:pt idx="18">
                  <c:v>4.833333333333333</c:v>
                </c:pt>
                <c:pt idx="19">
                  <c:v>2.3333333333333335</c:v>
                </c:pt>
                <c:pt idx="20">
                  <c:v>4.5</c:v>
                </c:pt>
                <c:pt idx="21">
                  <c:v>6.666666666666667</c:v>
                </c:pt>
                <c:pt idx="22">
                  <c:v>7.5</c:v>
                </c:pt>
                <c:pt idx="23">
                  <c:v>5.2857142857142856</c:v>
                </c:pt>
                <c:pt idx="24">
                  <c:v>2.875</c:v>
                </c:pt>
                <c:pt idx="25">
                  <c:v>6.25</c:v>
                </c:pt>
                <c:pt idx="26">
                  <c:v>6.125</c:v>
                </c:pt>
                <c:pt idx="27">
                  <c:v>5.75</c:v>
                </c:pt>
                <c:pt idx="28">
                  <c:v>5.375</c:v>
                </c:pt>
                <c:pt idx="29">
                  <c:v>5.6</c:v>
                </c:pt>
              </c:numCache>
            </c:numRef>
          </c:val>
          <c:extLst>
            <c:ext xmlns:c16="http://schemas.microsoft.com/office/drawing/2014/chart" uri="{C3380CC4-5D6E-409C-BE32-E72D297353CC}">
              <c16:uniqueId val="{00000001-F3B5-468C-8F57-3998A96DD5C5}"/>
            </c:ext>
          </c:extLst>
        </c:ser>
        <c:dLbls>
          <c:showLegendKey val="0"/>
          <c:showVal val="0"/>
          <c:showCatName val="0"/>
          <c:showSerName val="0"/>
          <c:showPercent val="0"/>
          <c:showBubbleSize val="0"/>
        </c:dLbls>
        <c:axId val="1529697968"/>
        <c:axId val="1529696528"/>
      </c:areaChart>
      <c:catAx>
        <c:axId val="1529697968"/>
        <c:scaling>
          <c:orientation val="minMax"/>
        </c:scaling>
        <c:delete val="1"/>
        <c:axPos val="b"/>
        <c:numFmt formatCode="General" sourceLinked="1"/>
        <c:majorTickMark val="out"/>
        <c:minorTickMark val="none"/>
        <c:tickLblPos val="nextTo"/>
        <c:crossAx val="1529696528"/>
        <c:crosses val="autoZero"/>
        <c:auto val="1"/>
        <c:lblAlgn val="ctr"/>
        <c:lblOffset val="100"/>
        <c:noMultiLvlLbl val="0"/>
      </c:catAx>
      <c:valAx>
        <c:axId val="1529696528"/>
        <c:scaling>
          <c:orientation val="minMax"/>
        </c:scaling>
        <c:delete val="1"/>
        <c:axPos val="l"/>
        <c:numFmt formatCode="0.00" sourceLinked="1"/>
        <c:majorTickMark val="none"/>
        <c:minorTickMark val="none"/>
        <c:tickLblPos val="nextTo"/>
        <c:crossAx val="152969796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Report!PivotTable8</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Report'!$B$33</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Report'!$A$34:$A$42</c:f>
              <c:strCache>
                <c:ptCount val="8"/>
                <c:pt idx="0">
                  <c:v>0-09</c:v>
                </c:pt>
                <c:pt idx="1">
                  <c:v>10-19</c:v>
                </c:pt>
                <c:pt idx="2">
                  <c:v>20-29</c:v>
                </c:pt>
                <c:pt idx="3">
                  <c:v>30-39</c:v>
                </c:pt>
                <c:pt idx="4">
                  <c:v>40-49</c:v>
                </c:pt>
                <c:pt idx="5">
                  <c:v>50-59</c:v>
                </c:pt>
                <c:pt idx="6">
                  <c:v>60-69</c:v>
                </c:pt>
                <c:pt idx="7">
                  <c:v>70-79</c:v>
                </c:pt>
              </c:strCache>
            </c:strRef>
          </c:cat>
          <c:val>
            <c:numRef>
              <c:f>'Pivot Report'!$B$34:$B$42</c:f>
              <c:numCache>
                <c:formatCode>0</c:formatCode>
                <c:ptCount val="8"/>
                <c:pt idx="0">
                  <c:v>70</c:v>
                </c:pt>
                <c:pt idx="1">
                  <c:v>67</c:v>
                </c:pt>
                <c:pt idx="2">
                  <c:v>64</c:v>
                </c:pt>
                <c:pt idx="3">
                  <c:v>60</c:v>
                </c:pt>
                <c:pt idx="4">
                  <c:v>42</c:v>
                </c:pt>
                <c:pt idx="5">
                  <c:v>53</c:v>
                </c:pt>
                <c:pt idx="6">
                  <c:v>71</c:v>
                </c:pt>
                <c:pt idx="7">
                  <c:v>52</c:v>
                </c:pt>
              </c:numCache>
            </c:numRef>
          </c:val>
          <c:extLst>
            <c:ext xmlns:c16="http://schemas.microsoft.com/office/drawing/2014/chart" uri="{C3380CC4-5D6E-409C-BE32-E72D297353CC}">
              <c16:uniqueId val="{00000001-830D-4788-9322-3A1840FEFB53}"/>
            </c:ext>
          </c:extLst>
        </c:ser>
        <c:dLbls>
          <c:showLegendKey val="0"/>
          <c:showVal val="0"/>
          <c:showCatName val="0"/>
          <c:showSerName val="0"/>
          <c:showPercent val="0"/>
          <c:showBubbleSize val="0"/>
        </c:dLbls>
        <c:gapWidth val="219"/>
        <c:overlap val="-27"/>
        <c:axId val="1533224000"/>
        <c:axId val="1533224960"/>
      </c:barChart>
      <c:catAx>
        <c:axId val="153322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224960"/>
        <c:crosses val="autoZero"/>
        <c:auto val="1"/>
        <c:lblAlgn val="ctr"/>
        <c:lblOffset val="100"/>
        <c:noMultiLvlLbl val="0"/>
      </c:catAx>
      <c:valAx>
        <c:axId val="1533224960"/>
        <c:scaling>
          <c:orientation val="minMax"/>
        </c:scaling>
        <c:delete val="1"/>
        <c:axPos val="l"/>
        <c:numFmt formatCode="0" sourceLinked="1"/>
        <c:majorTickMark val="none"/>
        <c:minorTickMark val="none"/>
        <c:tickLblPos val="nextTo"/>
        <c:crossAx val="1533224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Report!PivotTable9</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15625088419732755"/>
          <c:y val="0.13634103152412957"/>
          <c:w val="0.68834110434198592"/>
          <c:h val="0.78588023670087737"/>
        </c:manualLayout>
      </c:layout>
      <c:pieChart>
        <c:varyColors val="1"/>
        <c:ser>
          <c:idx val="0"/>
          <c:order val="0"/>
          <c:tx>
            <c:strRef>
              <c:f>'Pivot Report'!$B$45</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FC4C-43B1-ADB2-2C2C7B7689EF}"/>
              </c:ext>
            </c:extLst>
          </c:dPt>
          <c:dPt>
            <c:idx val="1"/>
            <c:bubble3D val="0"/>
            <c:spPr>
              <a:solidFill>
                <a:schemeClr val="accent2"/>
              </a:solidFill>
              <a:ln>
                <a:noFill/>
              </a:ln>
              <a:effectLst/>
            </c:spPr>
            <c:extLst>
              <c:ext xmlns:c16="http://schemas.microsoft.com/office/drawing/2014/chart" uri="{C3380CC4-5D6E-409C-BE32-E72D297353CC}">
                <c16:uniqueId val="{00000003-FC4C-43B1-ADB2-2C2C7B7689EF}"/>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Report'!$A$46:$A$48</c:f>
              <c:strCache>
                <c:ptCount val="2"/>
                <c:pt idx="0">
                  <c:v>Delay</c:v>
                </c:pt>
                <c:pt idx="1">
                  <c:v>Ontime</c:v>
                </c:pt>
              </c:strCache>
            </c:strRef>
          </c:cat>
          <c:val>
            <c:numRef>
              <c:f>'Pivot Report'!$B$46:$B$48</c:f>
              <c:numCache>
                <c:formatCode>0</c:formatCode>
                <c:ptCount val="2"/>
                <c:pt idx="0">
                  <c:v>273</c:v>
                </c:pt>
                <c:pt idx="1">
                  <c:v>206</c:v>
                </c:pt>
              </c:numCache>
            </c:numRef>
          </c:val>
          <c:extLst>
            <c:ext xmlns:c16="http://schemas.microsoft.com/office/drawing/2014/chart" uri="{C3380CC4-5D6E-409C-BE32-E72D297353CC}">
              <c16:uniqueId val="{00000005-029D-4814-A41C-6B29641E6A1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4.5612201700593859E-2"/>
          <c:y val="1.9025540589152198E-3"/>
          <c:w val="0.88679947264656422"/>
          <c:h val="0.15162321681626947"/>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Report!PivotTable10</c:name>
    <c:fmtId val="15"/>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18398497000623923"/>
          <c:y val="0.1199000221779413"/>
          <c:w val="0.68413450310743029"/>
          <c:h val="0.70744169173975202"/>
        </c:manualLayout>
      </c:layout>
      <c:doughnutChart>
        <c:varyColors val="1"/>
        <c:ser>
          <c:idx val="0"/>
          <c:order val="0"/>
          <c:tx>
            <c:strRef>
              <c:f>'Pivot Report'!$B$51</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F894-4B43-A368-5925F1B5A0A3}"/>
              </c:ext>
            </c:extLst>
          </c:dPt>
          <c:dPt>
            <c:idx val="1"/>
            <c:bubble3D val="0"/>
            <c:spPr>
              <a:solidFill>
                <a:schemeClr val="accent2"/>
              </a:solidFill>
              <a:ln>
                <a:noFill/>
              </a:ln>
              <a:effectLst/>
            </c:spPr>
            <c:extLst>
              <c:ext xmlns:c16="http://schemas.microsoft.com/office/drawing/2014/chart" uri="{C3380CC4-5D6E-409C-BE32-E72D297353CC}">
                <c16:uniqueId val="{00000003-F894-4B43-A368-5925F1B5A0A3}"/>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Report'!$A$52:$A$54</c:f>
              <c:strCache>
                <c:ptCount val="2"/>
                <c:pt idx="0">
                  <c:v>Female</c:v>
                </c:pt>
                <c:pt idx="1">
                  <c:v>Male</c:v>
                </c:pt>
              </c:strCache>
            </c:strRef>
          </c:cat>
          <c:val>
            <c:numRef>
              <c:f>'Pivot Report'!$B$52:$B$54</c:f>
              <c:numCache>
                <c:formatCode>0</c:formatCode>
                <c:ptCount val="2"/>
                <c:pt idx="0">
                  <c:v>235</c:v>
                </c:pt>
                <c:pt idx="1">
                  <c:v>244</c:v>
                </c:pt>
              </c:numCache>
            </c:numRef>
          </c:val>
          <c:extLst>
            <c:ext xmlns:c16="http://schemas.microsoft.com/office/drawing/2014/chart" uri="{C3380CC4-5D6E-409C-BE32-E72D297353CC}">
              <c16:uniqueId val="{00000005-71DD-4231-9F68-FD020162F648}"/>
            </c:ext>
          </c:extLst>
        </c:ser>
        <c:dLbls>
          <c:showLegendKey val="0"/>
          <c:showVal val="0"/>
          <c:showCatName val="0"/>
          <c:showSerName val="0"/>
          <c:showPercent val="1"/>
          <c:showBubbleSize val="0"/>
          <c:showLeaderLines val="1"/>
        </c:dLbls>
        <c:firstSliceAng val="0"/>
        <c:holeSize val="55"/>
      </c:doughnutChart>
      <c:spPr>
        <a:noFill/>
        <a:ln>
          <a:noFill/>
        </a:ln>
        <a:effectLst/>
      </c:spPr>
    </c:plotArea>
    <c:legend>
      <c:legendPos val="r"/>
      <c:layout>
        <c:manualLayout>
          <c:xMode val="edge"/>
          <c:yMode val="edge"/>
          <c:x val="0.13262714670626333"/>
          <c:y val="1.3427224036019886E-2"/>
          <c:w val="0.75672304447421257"/>
          <c:h val="0.1120154689032375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Report!PivotTable11</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23911918070854"/>
          <c:y val="4.6764836364877313E-2"/>
          <c:w val="0.7109678703955109"/>
          <c:h val="0.91582336604905223"/>
        </c:manualLayout>
      </c:layout>
      <c:barChart>
        <c:barDir val="bar"/>
        <c:grouping val="clustered"/>
        <c:varyColors val="0"/>
        <c:ser>
          <c:idx val="0"/>
          <c:order val="0"/>
          <c:tx>
            <c:strRef>
              <c:f>'Pivot Report'!$B$58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Report'!$A$59:$A$67</c:f>
              <c:strCache>
                <c:ptCount val="8"/>
                <c:pt idx="0">
                  <c:v>Renal</c:v>
                </c:pt>
                <c:pt idx="1">
                  <c:v>Neurology</c:v>
                </c:pt>
                <c:pt idx="2">
                  <c:v>Physiotherapy</c:v>
                </c:pt>
                <c:pt idx="3">
                  <c:v>Gastroenterology</c:v>
                </c:pt>
                <c:pt idx="4">
                  <c:v>Cardiology</c:v>
                </c:pt>
                <c:pt idx="5">
                  <c:v>Orthopedics</c:v>
                </c:pt>
                <c:pt idx="6">
                  <c:v>General Practice</c:v>
                </c:pt>
                <c:pt idx="7">
                  <c:v>None</c:v>
                </c:pt>
              </c:strCache>
            </c:strRef>
          </c:cat>
          <c:val>
            <c:numRef>
              <c:f>'Pivot Report'!$B$59:$B$67</c:f>
              <c:numCache>
                <c:formatCode>0</c:formatCode>
                <c:ptCount val="8"/>
                <c:pt idx="0">
                  <c:v>4</c:v>
                </c:pt>
                <c:pt idx="1">
                  <c:v>11</c:v>
                </c:pt>
                <c:pt idx="2">
                  <c:v>11</c:v>
                </c:pt>
                <c:pt idx="3">
                  <c:v>12</c:v>
                </c:pt>
                <c:pt idx="4">
                  <c:v>18</c:v>
                </c:pt>
                <c:pt idx="5">
                  <c:v>45</c:v>
                </c:pt>
                <c:pt idx="6">
                  <c:v>115</c:v>
                </c:pt>
                <c:pt idx="7">
                  <c:v>263</c:v>
                </c:pt>
              </c:numCache>
            </c:numRef>
          </c:val>
          <c:extLst>
            <c:ext xmlns:c16="http://schemas.microsoft.com/office/drawing/2014/chart" uri="{C3380CC4-5D6E-409C-BE32-E72D297353CC}">
              <c16:uniqueId val="{00000001-8857-44A7-A1DA-31E317FA020F}"/>
            </c:ext>
          </c:extLst>
        </c:ser>
        <c:dLbls>
          <c:showLegendKey val="0"/>
          <c:showVal val="0"/>
          <c:showCatName val="0"/>
          <c:showSerName val="0"/>
          <c:showPercent val="0"/>
          <c:showBubbleSize val="0"/>
        </c:dLbls>
        <c:gapWidth val="42"/>
        <c:axId val="1562480208"/>
        <c:axId val="1562474928"/>
      </c:barChart>
      <c:catAx>
        <c:axId val="1562480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62474928"/>
        <c:crosses val="autoZero"/>
        <c:auto val="1"/>
        <c:lblAlgn val="ctr"/>
        <c:lblOffset val="100"/>
        <c:noMultiLvlLbl val="0"/>
      </c:catAx>
      <c:valAx>
        <c:axId val="1562474928"/>
        <c:scaling>
          <c:orientation val="minMax"/>
        </c:scaling>
        <c:delete val="1"/>
        <c:axPos val="b"/>
        <c:numFmt formatCode="0" sourceLinked="1"/>
        <c:majorTickMark val="none"/>
        <c:minorTickMark val="none"/>
        <c:tickLblPos val="nextTo"/>
        <c:crossAx val="1562480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Report!PivotTable5</c:name>
    <c:fmtId val="2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498830309254813E-2"/>
          <c:y val="0.1278622045207676"/>
          <c:w val="0.9361755391989045"/>
          <c:h val="0.8080939326540113"/>
        </c:manualLayout>
      </c:layout>
      <c:areaChart>
        <c:grouping val="standard"/>
        <c:varyColors val="0"/>
        <c:ser>
          <c:idx val="0"/>
          <c:order val="0"/>
          <c:tx>
            <c:strRef>
              <c:f>'Pivot Report'!$H$4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Report'!$G$5:$G$35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Report'!$H$5:$H$35</c:f>
              <c:numCache>
                <c:formatCode>General</c:formatCode>
                <c:ptCount val="30"/>
                <c:pt idx="0">
                  <c:v>19</c:v>
                </c:pt>
                <c:pt idx="1">
                  <c:v>13</c:v>
                </c:pt>
                <c:pt idx="2">
                  <c:v>14</c:v>
                </c:pt>
                <c:pt idx="3">
                  <c:v>9</c:v>
                </c:pt>
                <c:pt idx="4">
                  <c:v>19</c:v>
                </c:pt>
                <c:pt idx="5">
                  <c:v>14</c:v>
                </c:pt>
                <c:pt idx="6">
                  <c:v>11</c:v>
                </c:pt>
                <c:pt idx="7">
                  <c:v>22</c:v>
                </c:pt>
                <c:pt idx="8">
                  <c:v>12</c:v>
                </c:pt>
                <c:pt idx="9">
                  <c:v>13</c:v>
                </c:pt>
                <c:pt idx="10">
                  <c:v>17</c:v>
                </c:pt>
                <c:pt idx="11">
                  <c:v>30</c:v>
                </c:pt>
                <c:pt idx="12">
                  <c:v>13</c:v>
                </c:pt>
                <c:pt idx="13">
                  <c:v>21</c:v>
                </c:pt>
                <c:pt idx="14">
                  <c:v>12</c:v>
                </c:pt>
                <c:pt idx="15">
                  <c:v>17</c:v>
                </c:pt>
                <c:pt idx="16">
                  <c:v>16</c:v>
                </c:pt>
                <c:pt idx="17">
                  <c:v>20</c:v>
                </c:pt>
                <c:pt idx="18">
                  <c:v>18</c:v>
                </c:pt>
                <c:pt idx="19">
                  <c:v>16</c:v>
                </c:pt>
                <c:pt idx="20">
                  <c:v>15</c:v>
                </c:pt>
                <c:pt idx="21">
                  <c:v>18</c:v>
                </c:pt>
                <c:pt idx="22">
                  <c:v>12</c:v>
                </c:pt>
                <c:pt idx="23">
                  <c:v>14</c:v>
                </c:pt>
                <c:pt idx="24">
                  <c:v>18</c:v>
                </c:pt>
                <c:pt idx="25">
                  <c:v>16</c:v>
                </c:pt>
                <c:pt idx="26">
                  <c:v>16</c:v>
                </c:pt>
                <c:pt idx="27">
                  <c:v>16</c:v>
                </c:pt>
                <c:pt idx="28">
                  <c:v>14</c:v>
                </c:pt>
                <c:pt idx="29">
                  <c:v>14</c:v>
                </c:pt>
              </c:numCache>
            </c:numRef>
          </c:val>
          <c:extLst>
            <c:ext xmlns:c16="http://schemas.microsoft.com/office/drawing/2014/chart" uri="{C3380CC4-5D6E-409C-BE32-E72D297353CC}">
              <c16:uniqueId val="{00000003-B20E-473C-B56D-7B99B4EBB565}"/>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1921359"/>
        <c:axId val="191919919"/>
      </c:areaChart>
      <c:catAx>
        <c:axId val="19192135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191919919"/>
        <c:crosses val="autoZero"/>
        <c:auto val="1"/>
        <c:lblAlgn val="ctr"/>
        <c:lblOffset val="100"/>
        <c:noMultiLvlLbl val="0"/>
      </c:catAx>
      <c:valAx>
        <c:axId val="191919919"/>
        <c:scaling>
          <c:orientation val="minMax"/>
        </c:scaling>
        <c:delete val="1"/>
        <c:axPos val="l"/>
        <c:numFmt formatCode="General" sourceLinked="1"/>
        <c:majorTickMark val="out"/>
        <c:minorTickMark val="none"/>
        <c:tickLblPos val="nextTo"/>
        <c:crossAx val="191921359"/>
        <c:crosses val="autoZero"/>
        <c:crossBetween val="midCat"/>
      </c:valAx>
      <c:spPr>
        <a:solidFill>
          <a:schemeClr val="accent1">
            <a:lumMod val="50000"/>
          </a:schemeClr>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Report!PivotTable3</c:name>
    <c:fmtId val="2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Report'!$K$4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Report'!$J$5:$J$35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Report'!$K$5:$K$35</c:f>
              <c:numCache>
                <c:formatCode>0.00</c:formatCode>
                <c:ptCount val="30"/>
                <c:pt idx="0">
                  <c:v>40.473684210526315</c:v>
                </c:pt>
                <c:pt idx="1">
                  <c:v>29.46153846153846</c:v>
                </c:pt>
                <c:pt idx="2">
                  <c:v>33.928571428571431</c:v>
                </c:pt>
                <c:pt idx="3">
                  <c:v>32.222222222222221</c:v>
                </c:pt>
                <c:pt idx="4">
                  <c:v>35.736842105263158</c:v>
                </c:pt>
                <c:pt idx="5">
                  <c:v>30.142857142857142</c:v>
                </c:pt>
                <c:pt idx="6">
                  <c:v>33.81818181818182</c:v>
                </c:pt>
                <c:pt idx="7">
                  <c:v>31.681818181818183</c:v>
                </c:pt>
                <c:pt idx="8">
                  <c:v>36.416666666666664</c:v>
                </c:pt>
                <c:pt idx="9">
                  <c:v>33.692307692307693</c:v>
                </c:pt>
                <c:pt idx="10">
                  <c:v>39.117647058823529</c:v>
                </c:pt>
                <c:pt idx="11">
                  <c:v>36.93333333333333</c:v>
                </c:pt>
                <c:pt idx="12">
                  <c:v>29.923076923076923</c:v>
                </c:pt>
                <c:pt idx="13">
                  <c:v>31.666666666666668</c:v>
                </c:pt>
                <c:pt idx="14">
                  <c:v>40.25</c:v>
                </c:pt>
                <c:pt idx="15">
                  <c:v>30</c:v>
                </c:pt>
                <c:pt idx="16">
                  <c:v>35</c:v>
                </c:pt>
                <c:pt idx="17">
                  <c:v>41.85</c:v>
                </c:pt>
                <c:pt idx="18">
                  <c:v>33.277777777777779</c:v>
                </c:pt>
                <c:pt idx="19">
                  <c:v>32.9375</c:v>
                </c:pt>
                <c:pt idx="20">
                  <c:v>33.266666666666666</c:v>
                </c:pt>
                <c:pt idx="21">
                  <c:v>34.444444444444443</c:v>
                </c:pt>
                <c:pt idx="22">
                  <c:v>43.416666666666664</c:v>
                </c:pt>
                <c:pt idx="23">
                  <c:v>36.357142857142854</c:v>
                </c:pt>
                <c:pt idx="24">
                  <c:v>40.611111111111114</c:v>
                </c:pt>
                <c:pt idx="25">
                  <c:v>29.875</c:v>
                </c:pt>
                <c:pt idx="26">
                  <c:v>33.5</c:v>
                </c:pt>
                <c:pt idx="27">
                  <c:v>32.5625</c:v>
                </c:pt>
                <c:pt idx="28">
                  <c:v>38.571428571428569</c:v>
                </c:pt>
                <c:pt idx="29">
                  <c:v>32.714285714285715</c:v>
                </c:pt>
              </c:numCache>
            </c:numRef>
          </c:val>
          <c:extLst>
            <c:ext xmlns:c16="http://schemas.microsoft.com/office/drawing/2014/chart" uri="{C3380CC4-5D6E-409C-BE32-E72D297353CC}">
              <c16:uniqueId val="{00000001-23EB-42CD-8352-DB5114090AB2}"/>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78858895"/>
        <c:axId val="678858415"/>
      </c:areaChart>
      <c:catAx>
        <c:axId val="67885889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78858415"/>
        <c:crosses val="autoZero"/>
        <c:auto val="1"/>
        <c:lblAlgn val="ctr"/>
        <c:lblOffset val="100"/>
        <c:noMultiLvlLbl val="0"/>
      </c:catAx>
      <c:valAx>
        <c:axId val="678858415"/>
        <c:scaling>
          <c:orientation val="minMax"/>
        </c:scaling>
        <c:delete val="1"/>
        <c:axPos val="l"/>
        <c:numFmt formatCode="0.00" sourceLinked="1"/>
        <c:majorTickMark val="out"/>
        <c:minorTickMark val="none"/>
        <c:tickLblPos val="nextTo"/>
        <c:crossAx val="67885889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Data.xltx]Pivot Report!PivotTable6</c:name>
    <c:fmtId val="3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Report'!$M$5:$M$35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Report'!$N$5:$N$35</c:f>
              <c:numCache>
                <c:formatCode>0.00</c:formatCode>
                <c:ptCount val="30"/>
                <c:pt idx="0">
                  <c:v>3.8</c:v>
                </c:pt>
                <c:pt idx="1">
                  <c:v>7.75</c:v>
                </c:pt>
                <c:pt idx="2">
                  <c:v>4.5999999999999996</c:v>
                </c:pt>
                <c:pt idx="3">
                  <c:v>6</c:v>
                </c:pt>
                <c:pt idx="4">
                  <c:v>5.5714285714285712</c:v>
                </c:pt>
                <c:pt idx="5">
                  <c:v>2</c:v>
                </c:pt>
                <c:pt idx="6">
                  <c:v>8</c:v>
                </c:pt>
                <c:pt idx="7">
                  <c:v>8</c:v>
                </c:pt>
                <c:pt idx="8">
                  <c:v>5.25</c:v>
                </c:pt>
                <c:pt idx="9">
                  <c:v>6</c:v>
                </c:pt>
                <c:pt idx="10">
                  <c:v>6.5</c:v>
                </c:pt>
                <c:pt idx="11">
                  <c:v>5.75</c:v>
                </c:pt>
                <c:pt idx="12">
                  <c:v>5.6</c:v>
                </c:pt>
                <c:pt idx="13">
                  <c:v>6.5</c:v>
                </c:pt>
                <c:pt idx="14">
                  <c:v>5.666666666666667</c:v>
                </c:pt>
                <c:pt idx="15">
                  <c:v>5.666666666666667</c:v>
                </c:pt>
                <c:pt idx="16">
                  <c:v>5.8</c:v>
                </c:pt>
                <c:pt idx="17">
                  <c:v>4.666666666666667</c:v>
                </c:pt>
                <c:pt idx="18">
                  <c:v>4.833333333333333</c:v>
                </c:pt>
                <c:pt idx="19">
                  <c:v>2.3333333333333335</c:v>
                </c:pt>
                <c:pt idx="20">
                  <c:v>4.5</c:v>
                </c:pt>
                <c:pt idx="21">
                  <c:v>6.666666666666667</c:v>
                </c:pt>
                <c:pt idx="22">
                  <c:v>7.5</c:v>
                </c:pt>
                <c:pt idx="23">
                  <c:v>5.2857142857142856</c:v>
                </c:pt>
                <c:pt idx="24">
                  <c:v>2.875</c:v>
                </c:pt>
                <c:pt idx="25">
                  <c:v>6.25</c:v>
                </c:pt>
                <c:pt idx="26">
                  <c:v>6.125</c:v>
                </c:pt>
                <c:pt idx="27">
                  <c:v>5.75</c:v>
                </c:pt>
                <c:pt idx="28">
                  <c:v>5.375</c:v>
                </c:pt>
                <c:pt idx="29">
                  <c:v>5.6</c:v>
                </c:pt>
              </c:numCache>
            </c:numRef>
          </c:val>
          <c:extLst>
            <c:ext xmlns:c16="http://schemas.microsoft.com/office/drawing/2014/chart" uri="{C3380CC4-5D6E-409C-BE32-E72D297353CC}">
              <c16:uniqueId val="{00000001-68A9-4444-A824-C44FDA6E853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529697968"/>
        <c:axId val="1529696528"/>
      </c:areaChart>
      <c:catAx>
        <c:axId val="152969796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100" b="0" i="0" u="none" strike="noStrike" kern="1200" baseline="0">
                <a:solidFill>
                  <a:schemeClr val="lt1"/>
                </a:solidFill>
                <a:latin typeface="+mn-lt"/>
                <a:ea typeface="+mn-ea"/>
                <a:cs typeface="+mn-cs"/>
              </a:defRPr>
            </a:pPr>
            <a:endParaRPr lang="en-US"/>
          </a:p>
        </c:txPr>
        <c:crossAx val="1529696528"/>
        <c:crosses val="autoZero"/>
        <c:auto val="1"/>
        <c:lblAlgn val="ctr"/>
        <c:lblOffset val="100"/>
        <c:noMultiLvlLbl val="0"/>
      </c:catAx>
      <c:valAx>
        <c:axId val="1529696528"/>
        <c:scaling>
          <c:orientation val="minMax"/>
        </c:scaling>
        <c:delete val="1"/>
        <c:axPos val="l"/>
        <c:numFmt formatCode="0.00" sourceLinked="1"/>
        <c:majorTickMark val="out"/>
        <c:minorTickMark val="none"/>
        <c:tickLblPos val="nextTo"/>
        <c:crossAx val="152969796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8.emf"/><Relationship Id="rId2" Type="http://schemas.openxmlformats.org/officeDocument/2006/relationships/image" Target="../media/image2.pn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svg"/><Relationship Id="rId15" Type="http://schemas.openxmlformats.org/officeDocument/2006/relationships/chart" Target="../charts/chart7.xml"/><Relationship Id="rId10" Type="http://schemas.openxmlformats.org/officeDocument/2006/relationships/hyperlink" Target="#'Satisfaction Score'!A1"/><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40447</xdr:colOff>
      <xdr:row>26</xdr:row>
      <xdr:rowOff>11723</xdr:rowOff>
    </xdr:from>
    <xdr:to>
      <xdr:col>4</xdr:col>
      <xdr:colOff>15241</xdr:colOff>
      <xdr:row>29</xdr:row>
      <xdr:rowOff>58615</xdr:rowOff>
    </xdr:to>
    <xdr:graphicFrame macro="">
      <xdr:nvGraphicFramePr>
        <xdr:cNvPr id="6" name="Chart 5">
          <a:extLst>
            <a:ext uri="{FF2B5EF4-FFF2-40B4-BE49-F238E27FC236}">
              <a16:creationId xmlns:a16="http://schemas.microsoft.com/office/drawing/2014/main" id="{2EE1C6F6-8885-6682-3A98-8F9A4E6EDD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47897</xdr:colOff>
      <xdr:row>0</xdr:row>
      <xdr:rowOff>39190</xdr:rowOff>
    </xdr:from>
    <xdr:to>
      <xdr:col>5</xdr:col>
      <xdr:colOff>178526</xdr:colOff>
      <xdr:row>3</xdr:row>
      <xdr:rowOff>0</xdr:rowOff>
    </xdr:to>
    <xdr:sp macro="" textlink="">
      <xdr:nvSpPr>
        <xdr:cNvPr id="2" name="Rectangle: Rounded Corners 1">
          <a:extLst>
            <a:ext uri="{FF2B5EF4-FFF2-40B4-BE49-F238E27FC236}">
              <a16:creationId xmlns:a16="http://schemas.microsoft.com/office/drawing/2014/main" id="{AD7F00E1-8C18-701C-D817-FC06D51F1EF4}"/>
            </a:ext>
          </a:extLst>
        </xdr:cNvPr>
        <xdr:cNvSpPr/>
      </xdr:nvSpPr>
      <xdr:spPr>
        <a:xfrm>
          <a:off x="47897" y="39190"/>
          <a:ext cx="3178629" cy="509450"/>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204652</xdr:colOff>
      <xdr:row>0</xdr:row>
      <xdr:rowOff>43544</xdr:rowOff>
    </xdr:from>
    <xdr:to>
      <xdr:col>7</xdr:col>
      <xdr:colOff>21771</xdr:colOff>
      <xdr:row>3</xdr:row>
      <xdr:rowOff>4354</xdr:rowOff>
    </xdr:to>
    <xdr:sp macro="" textlink="">
      <xdr:nvSpPr>
        <xdr:cNvPr id="4" name="Rectangle: Rounded Corners 3">
          <a:extLst>
            <a:ext uri="{FF2B5EF4-FFF2-40B4-BE49-F238E27FC236}">
              <a16:creationId xmlns:a16="http://schemas.microsoft.com/office/drawing/2014/main" id="{FC1EED29-FA50-A91A-8F19-DD2DA4297702}"/>
            </a:ext>
          </a:extLst>
        </xdr:cNvPr>
        <xdr:cNvSpPr/>
      </xdr:nvSpPr>
      <xdr:spPr>
        <a:xfrm>
          <a:off x="3252652" y="43544"/>
          <a:ext cx="1036319" cy="509450"/>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47625</xdr:colOff>
      <xdr:row>0</xdr:row>
      <xdr:rowOff>47626</xdr:rowOff>
    </xdr:from>
    <xdr:to>
      <xdr:col>11</xdr:col>
      <xdr:colOff>475842</xdr:colOff>
      <xdr:row>7</xdr:row>
      <xdr:rowOff>1904</xdr:rowOff>
    </xdr:to>
    <xdr:grpSp>
      <xdr:nvGrpSpPr>
        <xdr:cNvPr id="28" name="Group 27">
          <a:extLst>
            <a:ext uri="{FF2B5EF4-FFF2-40B4-BE49-F238E27FC236}">
              <a16:creationId xmlns:a16="http://schemas.microsoft.com/office/drawing/2014/main" id="{804AF5E6-42A1-F4D0-945F-DC098D49562B}"/>
            </a:ext>
          </a:extLst>
        </xdr:cNvPr>
        <xdr:cNvGrpSpPr/>
      </xdr:nvGrpSpPr>
      <xdr:grpSpPr>
        <a:xfrm>
          <a:off x="4314825" y="47626"/>
          <a:ext cx="2866617" cy="1221103"/>
          <a:chOff x="4314825" y="47626"/>
          <a:chExt cx="2866617" cy="1221103"/>
        </a:xfrm>
      </xdr:grpSpPr>
      <xdr:sp macro="" textlink="">
        <xdr:nvSpPr>
          <xdr:cNvPr id="5" name="Rectangle: Rounded Corners 4">
            <a:extLst>
              <a:ext uri="{FF2B5EF4-FFF2-40B4-BE49-F238E27FC236}">
                <a16:creationId xmlns:a16="http://schemas.microsoft.com/office/drawing/2014/main" id="{A84CE9C8-01F9-4811-EAE0-E70D7FC4FEB5}"/>
              </a:ext>
            </a:extLst>
          </xdr:cNvPr>
          <xdr:cNvSpPr/>
        </xdr:nvSpPr>
        <xdr:spPr>
          <a:xfrm>
            <a:off x="4314825" y="47626"/>
            <a:ext cx="1419225" cy="1219200"/>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 name="Rectangle: Rounded Corners 5">
            <a:extLst>
              <a:ext uri="{FF2B5EF4-FFF2-40B4-BE49-F238E27FC236}">
                <a16:creationId xmlns:a16="http://schemas.microsoft.com/office/drawing/2014/main" id="{563139F3-8E5D-7FE6-7EBB-4D5B02E98FB8}"/>
              </a:ext>
            </a:extLst>
          </xdr:cNvPr>
          <xdr:cNvSpPr/>
        </xdr:nvSpPr>
        <xdr:spPr>
          <a:xfrm>
            <a:off x="5753100" y="57150"/>
            <a:ext cx="1428342" cy="1211579"/>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chemeClr val="lt1"/>
                </a:solidFill>
                <a:latin typeface="+mn-lt"/>
                <a:ea typeface="+mn-ea"/>
                <a:cs typeface="+mn-cs"/>
              </a:rPr>
              <a:t> </a:t>
            </a:r>
          </a:p>
        </xdr:txBody>
      </xdr:sp>
    </xdr:grpSp>
    <xdr:clientData/>
  </xdr:twoCellAnchor>
  <xdr:twoCellAnchor editAs="absolute">
    <xdr:from>
      <xdr:col>0</xdr:col>
      <xdr:colOff>47899</xdr:colOff>
      <xdr:row>3</xdr:row>
      <xdr:rowOff>19050</xdr:rowOff>
    </xdr:from>
    <xdr:to>
      <xdr:col>1</xdr:col>
      <xdr:colOff>280989</xdr:colOff>
      <xdr:row>14</xdr:row>
      <xdr:rowOff>157162</xdr:rowOff>
    </xdr:to>
    <xdr:sp macro="" textlink="">
      <xdr:nvSpPr>
        <xdr:cNvPr id="7" name="Rectangle: Rounded Corners 6">
          <a:extLst>
            <a:ext uri="{FF2B5EF4-FFF2-40B4-BE49-F238E27FC236}">
              <a16:creationId xmlns:a16="http://schemas.microsoft.com/office/drawing/2014/main" id="{081823AE-1528-43DC-5C87-371201AC88AD}"/>
            </a:ext>
          </a:extLst>
        </xdr:cNvPr>
        <xdr:cNvSpPr/>
      </xdr:nvSpPr>
      <xdr:spPr>
        <a:xfrm>
          <a:off x="47899" y="561975"/>
          <a:ext cx="842690" cy="2128837"/>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309564</xdr:colOff>
      <xdr:row>3</xdr:row>
      <xdr:rowOff>26128</xdr:rowOff>
    </xdr:from>
    <xdr:to>
      <xdr:col>7</xdr:col>
      <xdr:colOff>26127</xdr:colOff>
      <xdr:row>7</xdr:row>
      <xdr:rowOff>52252</xdr:rowOff>
    </xdr:to>
    <xdr:grpSp>
      <xdr:nvGrpSpPr>
        <xdr:cNvPr id="27" name="Group 26">
          <a:extLst>
            <a:ext uri="{FF2B5EF4-FFF2-40B4-BE49-F238E27FC236}">
              <a16:creationId xmlns:a16="http://schemas.microsoft.com/office/drawing/2014/main" id="{950CE6D9-472C-31E3-68F7-9D3FDC122E21}"/>
            </a:ext>
          </a:extLst>
        </xdr:cNvPr>
        <xdr:cNvGrpSpPr/>
      </xdr:nvGrpSpPr>
      <xdr:grpSpPr>
        <a:xfrm>
          <a:off x="919164" y="569053"/>
          <a:ext cx="3374163" cy="750024"/>
          <a:chOff x="919164" y="569053"/>
          <a:chExt cx="3374163" cy="750024"/>
        </a:xfrm>
      </xdr:grpSpPr>
      <xdr:sp macro="" textlink="">
        <xdr:nvSpPr>
          <xdr:cNvPr id="8" name="Rectangle: Rounded Corners 7">
            <a:extLst>
              <a:ext uri="{FF2B5EF4-FFF2-40B4-BE49-F238E27FC236}">
                <a16:creationId xmlns:a16="http://schemas.microsoft.com/office/drawing/2014/main" id="{A2F762A8-E218-B217-2C30-DDD17D8EC6C7}"/>
              </a:ext>
            </a:extLst>
          </xdr:cNvPr>
          <xdr:cNvSpPr/>
        </xdr:nvSpPr>
        <xdr:spPr>
          <a:xfrm>
            <a:off x="919164" y="569053"/>
            <a:ext cx="1107736" cy="750024"/>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2E0AA001-225B-1E87-2744-529EAA07A929}"/>
              </a:ext>
            </a:extLst>
          </xdr:cNvPr>
          <xdr:cNvSpPr/>
        </xdr:nvSpPr>
        <xdr:spPr>
          <a:xfrm>
            <a:off x="2047875" y="569053"/>
            <a:ext cx="1112237" cy="750024"/>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BEEEE068-3F4F-E4AB-4F93-F058968E6163}"/>
              </a:ext>
            </a:extLst>
          </xdr:cNvPr>
          <xdr:cNvSpPr/>
        </xdr:nvSpPr>
        <xdr:spPr>
          <a:xfrm>
            <a:off x="3181351" y="569053"/>
            <a:ext cx="1111976" cy="750024"/>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xdr:col>
      <xdr:colOff>309564</xdr:colOff>
      <xdr:row>10</xdr:row>
      <xdr:rowOff>34834</xdr:rowOff>
    </xdr:from>
    <xdr:to>
      <xdr:col>7</xdr:col>
      <xdr:colOff>33338</xdr:colOff>
      <xdr:row>14</xdr:row>
      <xdr:rowOff>165463</xdr:rowOff>
    </xdr:to>
    <xdr:sp macro="" textlink="">
      <xdr:nvSpPr>
        <xdr:cNvPr id="21" name="Rectangle: Rounded Corners 20">
          <a:extLst>
            <a:ext uri="{FF2B5EF4-FFF2-40B4-BE49-F238E27FC236}">
              <a16:creationId xmlns:a16="http://schemas.microsoft.com/office/drawing/2014/main" id="{E0A9D577-7DE9-0718-DF2A-108CBA040F64}"/>
            </a:ext>
          </a:extLst>
        </xdr:cNvPr>
        <xdr:cNvSpPr/>
      </xdr:nvSpPr>
      <xdr:spPr>
        <a:xfrm>
          <a:off x="919164" y="1844584"/>
          <a:ext cx="3381374" cy="854529"/>
        </a:xfrm>
        <a:prstGeom prst="roundRect">
          <a:avLst>
            <a:gd name="adj" fmla="val 726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57150</xdr:colOff>
      <xdr:row>7</xdr:row>
      <xdr:rowOff>28575</xdr:rowOff>
    </xdr:from>
    <xdr:to>
      <xdr:col>11</xdr:col>
      <xdr:colOff>461963</xdr:colOff>
      <xdr:row>14</xdr:row>
      <xdr:rowOff>166688</xdr:rowOff>
    </xdr:to>
    <xdr:sp macro="" textlink="">
      <xdr:nvSpPr>
        <xdr:cNvPr id="23" name="Rectangle: Rounded Corners 22">
          <a:extLst>
            <a:ext uri="{FF2B5EF4-FFF2-40B4-BE49-F238E27FC236}">
              <a16:creationId xmlns:a16="http://schemas.microsoft.com/office/drawing/2014/main" id="{D2A06384-A5C7-873E-2843-8B04D3329C56}"/>
            </a:ext>
          </a:extLst>
        </xdr:cNvPr>
        <xdr:cNvSpPr/>
      </xdr:nvSpPr>
      <xdr:spPr>
        <a:xfrm>
          <a:off x="4324350" y="1295400"/>
          <a:ext cx="2843213" cy="1404938"/>
        </a:xfrm>
        <a:prstGeom prst="roundRect">
          <a:avLst>
            <a:gd name="adj" fmla="val 376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x`</a:t>
          </a:r>
        </a:p>
      </xdr:txBody>
    </xdr:sp>
    <xdr:clientData/>
  </xdr:twoCellAnchor>
  <xdr:twoCellAnchor editAs="absolute">
    <xdr:from>
      <xdr:col>0</xdr:col>
      <xdr:colOff>605245</xdr:colOff>
      <xdr:row>0</xdr:row>
      <xdr:rowOff>82732</xdr:rowOff>
    </xdr:from>
    <xdr:to>
      <xdr:col>4</xdr:col>
      <xdr:colOff>566056</xdr:colOff>
      <xdr:row>1</xdr:row>
      <xdr:rowOff>130629</xdr:rowOff>
    </xdr:to>
    <xdr:sp macro="" textlink="">
      <xdr:nvSpPr>
        <xdr:cNvPr id="24" name="TextBox 23">
          <a:extLst>
            <a:ext uri="{FF2B5EF4-FFF2-40B4-BE49-F238E27FC236}">
              <a16:creationId xmlns:a16="http://schemas.microsoft.com/office/drawing/2014/main" id="{58CDA5C7-4D64-0FCF-4852-3AC1FE361997}"/>
            </a:ext>
          </a:extLst>
        </xdr:cNvPr>
        <xdr:cNvSpPr txBox="1"/>
      </xdr:nvSpPr>
      <xdr:spPr>
        <a:xfrm>
          <a:off x="605245" y="82732"/>
          <a:ext cx="2399211" cy="230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IN" sz="1100"/>
            <a:t>Hospital Emergency Room Dashboard</a:t>
          </a:r>
        </a:p>
      </xdr:txBody>
    </xdr:sp>
    <xdr:clientData/>
  </xdr:twoCellAnchor>
  <xdr:twoCellAnchor editAs="oneCell">
    <xdr:from>
      <xdr:col>0</xdr:col>
      <xdr:colOff>108857</xdr:colOff>
      <xdr:row>0</xdr:row>
      <xdr:rowOff>0</xdr:rowOff>
    </xdr:from>
    <xdr:to>
      <xdr:col>1</xdr:col>
      <xdr:colOff>182880</xdr:colOff>
      <xdr:row>3</xdr:row>
      <xdr:rowOff>20280</xdr:rowOff>
    </xdr:to>
    <xdr:pic>
      <xdr:nvPicPr>
        <xdr:cNvPr id="26" name="Picture 25">
          <a:extLst>
            <a:ext uri="{FF2B5EF4-FFF2-40B4-BE49-F238E27FC236}">
              <a16:creationId xmlns:a16="http://schemas.microsoft.com/office/drawing/2014/main" id="{FDE86E1E-47F5-5C34-FBBF-6CBDFF5E9E7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0165" r="18518" b="8148"/>
        <a:stretch>
          <a:fillRect/>
        </a:stretch>
      </xdr:blipFill>
      <xdr:spPr>
        <a:xfrm>
          <a:off x="108857" y="0"/>
          <a:ext cx="683623" cy="568920"/>
        </a:xfrm>
        <a:prstGeom prst="rect">
          <a:avLst/>
        </a:prstGeom>
      </xdr:spPr>
    </xdr:pic>
    <xdr:clientData/>
  </xdr:twoCellAnchor>
  <xdr:twoCellAnchor editAs="absolute">
    <xdr:from>
      <xdr:col>2</xdr:col>
      <xdr:colOff>113212</xdr:colOff>
      <xdr:row>1</xdr:row>
      <xdr:rowOff>113211</xdr:rowOff>
    </xdr:from>
    <xdr:to>
      <xdr:col>4</xdr:col>
      <xdr:colOff>34836</xdr:colOff>
      <xdr:row>2</xdr:row>
      <xdr:rowOff>87086</xdr:rowOff>
    </xdr:to>
    <xdr:sp macro="" textlink="">
      <xdr:nvSpPr>
        <xdr:cNvPr id="29" name="TextBox 28">
          <a:extLst>
            <a:ext uri="{FF2B5EF4-FFF2-40B4-BE49-F238E27FC236}">
              <a16:creationId xmlns:a16="http://schemas.microsoft.com/office/drawing/2014/main" id="{1F16784C-8DB0-BE33-EDA8-55CF4EAC3F87}"/>
            </a:ext>
          </a:extLst>
        </xdr:cNvPr>
        <xdr:cNvSpPr txBox="1"/>
      </xdr:nvSpPr>
      <xdr:spPr>
        <a:xfrm>
          <a:off x="1332412" y="296091"/>
          <a:ext cx="1140824"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900"/>
            <a:t>Monthly Report</a:t>
          </a:r>
        </a:p>
        <a:p>
          <a:pPr algn="ctr"/>
          <a:endParaRPr lang="en-IN" sz="1100"/>
        </a:p>
      </xdr:txBody>
    </xdr:sp>
    <xdr:clientData/>
  </xdr:twoCellAnchor>
  <xdr:twoCellAnchor editAs="absolute">
    <xdr:from>
      <xdr:col>1</xdr:col>
      <xdr:colOff>339633</xdr:colOff>
      <xdr:row>5</xdr:row>
      <xdr:rowOff>0</xdr:rowOff>
    </xdr:from>
    <xdr:to>
      <xdr:col>3</xdr:col>
      <xdr:colOff>191588</xdr:colOff>
      <xdr:row>5</xdr:row>
      <xdr:rowOff>156755</xdr:rowOff>
    </xdr:to>
    <xdr:sp macro="" textlink="">
      <xdr:nvSpPr>
        <xdr:cNvPr id="36" name="TextBox 35">
          <a:extLst>
            <a:ext uri="{FF2B5EF4-FFF2-40B4-BE49-F238E27FC236}">
              <a16:creationId xmlns:a16="http://schemas.microsoft.com/office/drawing/2014/main" id="{3B4FF1D2-4EC8-CBD7-C8D2-2AE75A74BF30}"/>
            </a:ext>
          </a:extLst>
        </xdr:cNvPr>
        <xdr:cNvSpPr txBox="1"/>
      </xdr:nvSpPr>
      <xdr:spPr>
        <a:xfrm>
          <a:off x="949233" y="914400"/>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No. of Patient</a:t>
          </a:r>
        </a:p>
        <a:p>
          <a:pPr algn="ctr"/>
          <a:endParaRPr lang="en-IN" sz="1050"/>
        </a:p>
      </xdr:txBody>
    </xdr:sp>
    <xdr:clientData/>
  </xdr:twoCellAnchor>
  <xdr:twoCellAnchor editAs="absolute">
    <xdr:from>
      <xdr:col>1</xdr:col>
      <xdr:colOff>339633</xdr:colOff>
      <xdr:row>4</xdr:row>
      <xdr:rowOff>8708</xdr:rowOff>
    </xdr:from>
    <xdr:to>
      <xdr:col>3</xdr:col>
      <xdr:colOff>191588</xdr:colOff>
      <xdr:row>4</xdr:row>
      <xdr:rowOff>165463</xdr:rowOff>
    </xdr:to>
    <xdr:sp macro="" textlink="'Pivot Report'!A5">
      <xdr:nvSpPr>
        <xdr:cNvPr id="42" name="TextBox 41">
          <a:extLst>
            <a:ext uri="{FF2B5EF4-FFF2-40B4-BE49-F238E27FC236}">
              <a16:creationId xmlns:a16="http://schemas.microsoft.com/office/drawing/2014/main" id="{8577CE2A-1658-9477-AA78-0A49F7DB0CF5}"/>
            </a:ext>
          </a:extLst>
        </xdr:cNvPr>
        <xdr:cNvSpPr txBox="1"/>
      </xdr:nvSpPr>
      <xdr:spPr>
        <a:xfrm>
          <a:off x="949233" y="740228"/>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6660E8A-95E2-4745-A872-3EDF157AF89B}" type="TxLink">
            <a:rPr lang="en-US" sz="1100" b="0" i="0" u="none" strike="noStrike">
              <a:solidFill>
                <a:srgbClr val="000000"/>
              </a:solidFill>
              <a:latin typeface="Calibri"/>
              <a:ea typeface="Calibri"/>
              <a:cs typeface="Calibri"/>
            </a:rPr>
            <a:pPr algn="ctr"/>
            <a:t>479</a:t>
          </a:fld>
          <a:endParaRPr lang="en-IN" sz="1100"/>
        </a:p>
      </xdr:txBody>
    </xdr:sp>
    <xdr:clientData/>
  </xdr:twoCellAnchor>
  <xdr:twoCellAnchor editAs="absolute">
    <xdr:from>
      <xdr:col>3</xdr:col>
      <xdr:colOff>243838</xdr:colOff>
      <xdr:row>5</xdr:row>
      <xdr:rowOff>0</xdr:rowOff>
    </xdr:from>
    <xdr:to>
      <xdr:col>5</xdr:col>
      <xdr:colOff>95793</xdr:colOff>
      <xdr:row>5</xdr:row>
      <xdr:rowOff>156755</xdr:rowOff>
    </xdr:to>
    <xdr:sp macro="" textlink="">
      <xdr:nvSpPr>
        <xdr:cNvPr id="43" name="TextBox 42">
          <a:extLst>
            <a:ext uri="{FF2B5EF4-FFF2-40B4-BE49-F238E27FC236}">
              <a16:creationId xmlns:a16="http://schemas.microsoft.com/office/drawing/2014/main" id="{54FC782C-768C-52D9-32BE-D8B4F0085B71}"/>
            </a:ext>
          </a:extLst>
        </xdr:cNvPr>
        <xdr:cNvSpPr txBox="1"/>
      </xdr:nvSpPr>
      <xdr:spPr>
        <a:xfrm>
          <a:off x="2072638" y="914400"/>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Average Wait</a:t>
          </a:r>
          <a:r>
            <a:rPr lang="en-IN" sz="800" baseline="0"/>
            <a:t> Time</a:t>
          </a:r>
          <a:endParaRPr lang="en-IN" sz="800"/>
        </a:p>
        <a:p>
          <a:pPr algn="ctr"/>
          <a:endParaRPr lang="en-IN" sz="1050"/>
        </a:p>
      </xdr:txBody>
    </xdr:sp>
    <xdr:clientData/>
  </xdr:twoCellAnchor>
  <xdr:twoCellAnchor editAs="absolute">
    <xdr:from>
      <xdr:col>3</xdr:col>
      <xdr:colOff>243838</xdr:colOff>
      <xdr:row>4</xdr:row>
      <xdr:rowOff>8708</xdr:rowOff>
    </xdr:from>
    <xdr:to>
      <xdr:col>5</xdr:col>
      <xdr:colOff>95793</xdr:colOff>
      <xdr:row>4</xdr:row>
      <xdr:rowOff>165463</xdr:rowOff>
    </xdr:to>
    <xdr:sp macro="" textlink="'Pivot Report'!A9">
      <xdr:nvSpPr>
        <xdr:cNvPr id="44" name="TextBox 43">
          <a:extLst>
            <a:ext uri="{FF2B5EF4-FFF2-40B4-BE49-F238E27FC236}">
              <a16:creationId xmlns:a16="http://schemas.microsoft.com/office/drawing/2014/main" id="{B122A939-7E77-5943-C58E-4D5B72B23DCD}"/>
            </a:ext>
          </a:extLst>
        </xdr:cNvPr>
        <xdr:cNvSpPr txBox="1"/>
      </xdr:nvSpPr>
      <xdr:spPr>
        <a:xfrm>
          <a:off x="2072638" y="740228"/>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B1CD80C-5C8B-4114-BC4D-F1B6D5F5A78F}" type="TxLink">
            <a:rPr lang="en-US" sz="1100" b="0" i="0" u="none" strike="noStrike">
              <a:solidFill>
                <a:srgbClr val="000000"/>
              </a:solidFill>
              <a:latin typeface="Calibri"/>
              <a:ea typeface="Calibri"/>
              <a:cs typeface="Calibri"/>
            </a:rPr>
            <a:pPr algn="ctr"/>
            <a:t>34.90</a:t>
          </a:fld>
          <a:endParaRPr lang="en-IN" sz="1100"/>
        </a:p>
      </xdr:txBody>
    </xdr:sp>
    <xdr:clientData/>
  </xdr:twoCellAnchor>
  <xdr:twoCellAnchor editAs="absolute">
    <xdr:from>
      <xdr:col>5</xdr:col>
      <xdr:colOff>156752</xdr:colOff>
      <xdr:row>5</xdr:row>
      <xdr:rowOff>4355</xdr:rowOff>
    </xdr:from>
    <xdr:to>
      <xdr:col>7</xdr:col>
      <xdr:colOff>8707</xdr:colOff>
      <xdr:row>5</xdr:row>
      <xdr:rowOff>161110</xdr:rowOff>
    </xdr:to>
    <xdr:sp macro="" textlink="">
      <xdr:nvSpPr>
        <xdr:cNvPr id="51" name="TextBox 50">
          <a:extLst>
            <a:ext uri="{FF2B5EF4-FFF2-40B4-BE49-F238E27FC236}">
              <a16:creationId xmlns:a16="http://schemas.microsoft.com/office/drawing/2014/main" id="{DF28F70E-8E5F-6766-F23B-79C33EA762A5}"/>
            </a:ext>
          </a:extLst>
        </xdr:cNvPr>
        <xdr:cNvSpPr txBox="1"/>
      </xdr:nvSpPr>
      <xdr:spPr>
        <a:xfrm>
          <a:off x="3204752" y="918755"/>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Patinet Satisfaction Score</a:t>
          </a:r>
        </a:p>
        <a:p>
          <a:pPr algn="ctr"/>
          <a:endParaRPr lang="en-IN" sz="1050"/>
        </a:p>
      </xdr:txBody>
    </xdr:sp>
    <xdr:clientData/>
  </xdr:twoCellAnchor>
  <xdr:twoCellAnchor editAs="absolute">
    <xdr:from>
      <xdr:col>5</xdr:col>
      <xdr:colOff>156752</xdr:colOff>
      <xdr:row>4</xdr:row>
      <xdr:rowOff>13063</xdr:rowOff>
    </xdr:from>
    <xdr:to>
      <xdr:col>7</xdr:col>
      <xdr:colOff>8707</xdr:colOff>
      <xdr:row>4</xdr:row>
      <xdr:rowOff>169818</xdr:rowOff>
    </xdr:to>
    <xdr:sp macro="" textlink="'Pivot Report'!A14">
      <xdr:nvSpPr>
        <xdr:cNvPr id="52" name="TextBox 51">
          <a:extLst>
            <a:ext uri="{FF2B5EF4-FFF2-40B4-BE49-F238E27FC236}">
              <a16:creationId xmlns:a16="http://schemas.microsoft.com/office/drawing/2014/main" id="{270E0D9B-B90F-EF02-CA1D-E0B8CF4C0D35}"/>
            </a:ext>
          </a:extLst>
        </xdr:cNvPr>
        <xdr:cNvSpPr txBox="1"/>
      </xdr:nvSpPr>
      <xdr:spPr>
        <a:xfrm>
          <a:off x="3204752" y="744583"/>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1479CFF2-4137-4BB9-A761-5B4BDDB9C377}" type="TxLink">
            <a:rPr lang="en-US" sz="1100" b="0" i="0" u="none" strike="noStrike">
              <a:solidFill>
                <a:srgbClr val="000000"/>
              </a:solidFill>
              <a:latin typeface="Calibri"/>
              <a:ea typeface="Calibri"/>
              <a:cs typeface="Calibri"/>
            </a:rPr>
            <a:pPr algn="ctr"/>
            <a:t>5.30</a:t>
          </a:fld>
          <a:endParaRPr lang="en-IN" sz="1100"/>
        </a:p>
      </xdr:txBody>
    </xdr:sp>
    <xdr:clientData/>
  </xdr:twoCellAnchor>
  <xdr:twoCellAnchor editAs="oneCell">
    <xdr:from>
      <xdr:col>2</xdr:col>
      <xdr:colOff>526869</xdr:colOff>
      <xdr:row>3</xdr:row>
      <xdr:rowOff>69669</xdr:rowOff>
    </xdr:from>
    <xdr:to>
      <xdr:col>3</xdr:col>
      <xdr:colOff>165463</xdr:colOff>
      <xdr:row>4</xdr:row>
      <xdr:rowOff>134983</xdr:rowOff>
    </xdr:to>
    <xdr:pic>
      <xdr:nvPicPr>
        <xdr:cNvPr id="58" name="Graphic 57" descr="Male profile">
          <a:extLst>
            <a:ext uri="{FF2B5EF4-FFF2-40B4-BE49-F238E27FC236}">
              <a16:creationId xmlns:a16="http://schemas.microsoft.com/office/drawing/2014/main" id="{418E46A6-131E-EF76-DACA-368A8E99D7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746069" y="618309"/>
          <a:ext cx="248194" cy="248194"/>
        </a:xfrm>
        <a:prstGeom prst="rect">
          <a:avLst/>
        </a:prstGeom>
      </xdr:spPr>
    </xdr:pic>
    <xdr:clientData/>
  </xdr:twoCellAnchor>
  <xdr:twoCellAnchor editAs="oneCell">
    <xdr:from>
      <xdr:col>4</xdr:col>
      <xdr:colOff>483326</xdr:colOff>
      <xdr:row>3</xdr:row>
      <xdr:rowOff>100151</xdr:rowOff>
    </xdr:from>
    <xdr:to>
      <xdr:col>5</xdr:col>
      <xdr:colOff>82730</xdr:colOff>
      <xdr:row>4</xdr:row>
      <xdr:rowOff>126275</xdr:rowOff>
    </xdr:to>
    <xdr:pic>
      <xdr:nvPicPr>
        <xdr:cNvPr id="62" name="Graphic 61" descr="Hourglass">
          <a:extLst>
            <a:ext uri="{FF2B5EF4-FFF2-40B4-BE49-F238E27FC236}">
              <a16:creationId xmlns:a16="http://schemas.microsoft.com/office/drawing/2014/main" id="{6FEEC3F4-819D-7118-C24E-850BF829F0E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921726" y="648791"/>
          <a:ext cx="209004" cy="209004"/>
        </a:xfrm>
        <a:prstGeom prst="rect">
          <a:avLst/>
        </a:prstGeom>
      </xdr:spPr>
    </xdr:pic>
    <xdr:clientData/>
  </xdr:twoCellAnchor>
  <xdr:twoCellAnchor editAs="oneCell">
    <xdr:from>
      <xdr:col>6</xdr:col>
      <xdr:colOff>352696</xdr:colOff>
      <xdr:row>3</xdr:row>
      <xdr:rowOff>82731</xdr:rowOff>
    </xdr:from>
    <xdr:to>
      <xdr:col>6</xdr:col>
      <xdr:colOff>600891</xdr:colOff>
      <xdr:row>4</xdr:row>
      <xdr:rowOff>148046</xdr:rowOff>
    </xdr:to>
    <xdr:pic>
      <xdr:nvPicPr>
        <xdr:cNvPr id="64" name="Graphic 63" descr="Star">
          <a:extLst>
            <a:ext uri="{FF2B5EF4-FFF2-40B4-BE49-F238E27FC236}">
              <a16:creationId xmlns:a16="http://schemas.microsoft.com/office/drawing/2014/main" id="{545BA4EA-B6A8-E43F-1CEC-829C96D8443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010296" y="631371"/>
          <a:ext cx="248195" cy="248195"/>
        </a:xfrm>
        <a:prstGeom prst="rect">
          <a:avLst/>
        </a:prstGeom>
      </xdr:spPr>
    </xdr:pic>
    <xdr:clientData/>
  </xdr:twoCellAnchor>
  <xdr:twoCellAnchor editAs="oneCell">
    <xdr:from>
      <xdr:col>0</xdr:col>
      <xdr:colOff>187233</xdr:colOff>
      <xdr:row>3</xdr:row>
      <xdr:rowOff>87086</xdr:rowOff>
    </xdr:from>
    <xdr:to>
      <xdr:col>1</xdr:col>
      <xdr:colOff>109083</xdr:colOff>
      <xdr:row>14</xdr:row>
      <xdr:rowOff>127406</xdr:rowOff>
    </xdr:to>
    <mc:AlternateContent xmlns:mc="http://schemas.openxmlformats.org/markup-compatibility/2006" xmlns:a14="http://schemas.microsoft.com/office/drawing/2010/main">
      <mc:Choice Requires="a14">
        <xdr:graphicFrame macro="">
          <xdr:nvGraphicFramePr>
            <xdr:cNvPr id="65" name="Date (Month)">
              <a:extLst>
                <a:ext uri="{FF2B5EF4-FFF2-40B4-BE49-F238E27FC236}">
                  <a16:creationId xmlns:a16="http://schemas.microsoft.com/office/drawing/2014/main" id="{DAA6DEC5-3426-4FA7-BD54-6145C2513695}"/>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87233" y="635726"/>
              <a:ext cx="531450" cy="205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291736</xdr:colOff>
      <xdr:row>5</xdr:row>
      <xdr:rowOff>17417</xdr:rowOff>
    </xdr:from>
    <xdr:to>
      <xdr:col>3</xdr:col>
      <xdr:colOff>209006</xdr:colOff>
      <xdr:row>7</xdr:row>
      <xdr:rowOff>52251</xdr:rowOff>
    </xdr:to>
    <xdr:graphicFrame macro="">
      <xdr:nvGraphicFramePr>
        <xdr:cNvPr id="78" name="Chart 77">
          <a:extLst>
            <a:ext uri="{FF2B5EF4-FFF2-40B4-BE49-F238E27FC236}">
              <a16:creationId xmlns:a16="http://schemas.microsoft.com/office/drawing/2014/main" id="{FE833E52-56B5-44F4-A84B-96B45A944B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252549</xdr:colOff>
      <xdr:row>5</xdr:row>
      <xdr:rowOff>134983</xdr:rowOff>
    </xdr:from>
    <xdr:to>
      <xdr:col>5</xdr:col>
      <xdr:colOff>126274</xdr:colOff>
      <xdr:row>7</xdr:row>
      <xdr:rowOff>34834</xdr:rowOff>
    </xdr:to>
    <xdr:graphicFrame macro="">
      <xdr:nvGraphicFramePr>
        <xdr:cNvPr id="3" name="Chart 2">
          <a:extLst>
            <a:ext uri="{FF2B5EF4-FFF2-40B4-BE49-F238E27FC236}">
              <a16:creationId xmlns:a16="http://schemas.microsoft.com/office/drawing/2014/main" id="{F5AD0188-0FFF-4B2D-A59D-9AC6FE6509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182880</xdr:colOff>
      <xdr:row>5</xdr:row>
      <xdr:rowOff>82731</xdr:rowOff>
    </xdr:from>
    <xdr:to>
      <xdr:col>7</xdr:col>
      <xdr:colOff>8709</xdr:colOff>
      <xdr:row>7</xdr:row>
      <xdr:rowOff>39189</xdr:rowOff>
    </xdr:to>
    <xdr:graphicFrame macro="">
      <xdr:nvGraphicFramePr>
        <xdr:cNvPr id="12" name="Chart 11">
          <a:hlinkClick xmlns:r="http://schemas.openxmlformats.org/officeDocument/2006/relationships" r:id="rId10"/>
          <a:extLst>
            <a:ext uri="{FF2B5EF4-FFF2-40B4-BE49-F238E27FC236}">
              <a16:creationId xmlns:a16="http://schemas.microsoft.com/office/drawing/2014/main" id="{D841E564-5DAB-41BB-B058-D26D78B7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304800</xdr:colOff>
          <xdr:row>7</xdr:row>
          <xdr:rowOff>61913</xdr:rowOff>
        </xdr:from>
        <xdr:to>
          <xdr:col>7</xdr:col>
          <xdr:colOff>38100</xdr:colOff>
          <xdr:row>10</xdr:row>
          <xdr:rowOff>13064</xdr:rowOff>
        </xdr:to>
        <xdr:pic>
          <xdr:nvPicPr>
            <xdr:cNvPr id="14" name="Picture 13">
              <a:extLst>
                <a:ext uri="{FF2B5EF4-FFF2-40B4-BE49-F238E27FC236}">
                  <a16:creationId xmlns:a16="http://schemas.microsoft.com/office/drawing/2014/main" id="{3A45C400-44CC-22F9-9BF2-B278F3D2AC9E}"/>
                </a:ext>
              </a:extLst>
            </xdr:cNvPr>
            <xdr:cNvPicPr>
              <a:picLocks noChangeAspect="1" noChangeArrowheads="1"/>
              <a:extLst>
                <a:ext uri="{84589F7E-364E-4C9E-8A38-B11213B215E9}">
                  <a14:cameraTool cellRange="'Pivot Report'!$A$27:$D$29" spid="_x0000_s1039"/>
                </a:ext>
              </a:extLst>
            </xdr:cNvPicPr>
          </xdr:nvPicPr>
          <xdr:blipFill>
            <a:blip xmlns:r="http://schemas.openxmlformats.org/officeDocument/2006/relationships" r:embed="rId12"/>
            <a:srcRect/>
            <a:stretch>
              <a:fillRect/>
            </a:stretch>
          </xdr:blipFill>
          <xdr:spPr bwMode="auto">
            <a:xfrm>
              <a:off x="914400" y="1328738"/>
              <a:ext cx="3390900" cy="4940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a:extLst>
              <a:ext uri="{909E8E84-426E-40DD-AFC4-6F175D3DCCD1}">
                <a14:hiddenFill>
                  <a:solidFill>
                    <a:srgbClr val="FFFFFF"/>
                  </a:solidFill>
                </a14:hiddenFill>
              </a:ext>
            </a:extLst>
          </xdr:spPr>
        </xdr:pic>
        <xdr:clientData/>
      </xdr:twoCellAnchor>
    </mc:Choice>
    <mc:Fallback/>
  </mc:AlternateContent>
  <xdr:twoCellAnchor>
    <xdr:from>
      <xdr:col>1</xdr:col>
      <xdr:colOff>345622</xdr:colOff>
      <xdr:row>10</xdr:row>
      <xdr:rowOff>47626</xdr:rowOff>
    </xdr:from>
    <xdr:to>
      <xdr:col>6</xdr:col>
      <xdr:colOff>600075</xdr:colOff>
      <xdr:row>14</xdr:row>
      <xdr:rowOff>128588</xdr:rowOff>
    </xdr:to>
    <xdr:graphicFrame macro="">
      <xdr:nvGraphicFramePr>
        <xdr:cNvPr id="15" name="Chart 14">
          <a:extLst>
            <a:ext uri="{FF2B5EF4-FFF2-40B4-BE49-F238E27FC236}">
              <a16:creationId xmlns:a16="http://schemas.microsoft.com/office/drawing/2014/main" id="{B43BBB6B-A383-4A30-A1B9-D169DD585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185738</xdr:colOff>
      <xdr:row>0</xdr:row>
      <xdr:rowOff>61914</xdr:rowOff>
    </xdr:from>
    <xdr:to>
      <xdr:col>9</xdr:col>
      <xdr:colOff>152400</xdr:colOff>
      <xdr:row>6</xdr:row>
      <xdr:rowOff>42864</xdr:rowOff>
    </xdr:to>
    <xdr:graphicFrame macro="">
      <xdr:nvGraphicFramePr>
        <xdr:cNvPr id="16" name="Chart 15">
          <a:extLst>
            <a:ext uri="{FF2B5EF4-FFF2-40B4-BE49-F238E27FC236}">
              <a16:creationId xmlns:a16="http://schemas.microsoft.com/office/drawing/2014/main" id="{FA1F2A11-2EFA-4539-8386-C6FF8EAE8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7</xdr:col>
      <xdr:colOff>258125</xdr:colOff>
      <xdr:row>6</xdr:row>
      <xdr:rowOff>23812</xdr:rowOff>
    </xdr:from>
    <xdr:to>
      <xdr:col>9</xdr:col>
      <xdr:colOff>110080</xdr:colOff>
      <xdr:row>6</xdr:row>
      <xdr:rowOff>180567</xdr:rowOff>
    </xdr:to>
    <xdr:sp macro="" textlink="">
      <xdr:nvSpPr>
        <xdr:cNvPr id="17" name="TextBox 16">
          <a:extLst>
            <a:ext uri="{FF2B5EF4-FFF2-40B4-BE49-F238E27FC236}">
              <a16:creationId xmlns:a16="http://schemas.microsoft.com/office/drawing/2014/main" id="{D858C061-236E-1E5D-A286-AE33C4A274D1}"/>
            </a:ext>
          </a:extLst>
        </xdr:cNvPr>
        <xdr:cNvSpPr txBox="1"/>
      </xdr:nvSpPr>
      <xdr:spPr>
        <a:xfrm>
          <a:off x="4525325" y="1109662"/>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Patient</a:t>
          </a:r>
          <a:r>
            <a:rPr lang="en-IN" sz="800" baseline="0"/>
            <a:t> Attended Status</a:t>
          </a:r>
        </a:p>
        <a:p>
          <a:pPr algn="ctr"/>
          <a:endParaRPr lang="en-IN" sz="800"/>
        </a:p>
        <a:p>
          <a:pPr algn="ctr"/>
          <a:endParaRPr lang="en-IN" sz="1050"/>
        </a:p>
      </xdr:txBody>
    </xdr:sp>
    <xdr:clientData/>
  </xdr:twoCellAnchor>
  <xdr:twoCellAnchor>
    <xdr:from>
      <xdr:col>9</xdr:col>
      <xdr:colOff>241935</xdr:colOff>
      <xdr:row>0</xdr:row>
      <xdr:rowOff>66675</xdr:rowOff>
    </xdr:from>
    <xdr:to>
      <xdr:col>11</xdr:col>
      <xdr:colOff>457200</xdr:colOff>
      <xdr:row>6</xdr:row>
      <xdr:rowOff>166688</xdr:rowOff>
    </xdr:to>
    <xdr:graphicFrame macro="">
      <xdr:nvGraphicFramePr>
        <xdr:cNvPr id="18" name="Chart 17">
          <a:extLst>
            <a:ext uri="{FF2B5EF4-FFF2-40B4-BE49-F238E27FC236}">
              <a16:creationId xmlns:a16="http://schemas.microsoft.com/office/drawing/2014/main" id="{769471F4-D25F-4973-AF70-F9C2F5F19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9</xdr:col>
      <xdr:colOff>434337</xdr:colOff>
      <xdr:row>6</xdr:row>
      <xdr:rowOff>23812</xdr:rowOff>
    </xdr:from>
    <xdr:to>
      <xdr:col>11</xdr:col>
      <xdr:colOff>286292</xdr:colOff>
      <xdr:row>6</xdr:row>
      <xdr:rowOff>180567</xdr:rowOff>
    </xdr:to>
    <xdr:sp macro="" textlink="">
      <xdr:nvSpPr>
        <xdr:cNvPr id="19" name="TextBox 18">
          <a:extLst>
            <a:ext uri="{FF2B5EF4-FFF2-40B4-BE49-F238E27FC236}">
              <a16:creationId xmlns:a16="http://schemas.microsoft.com/office/drawing/2014/main" id="{ED035A97-C918-1642-9D98-348B425A14C2}"/>
            </a:ext>
          </a:extLst>
        </xdr:cNvPr>
        <xdr:cNvSpPr txBox="1"/>
      </xdr:nvSpPr>
      <xdr:spPr>
        <a:xfrm>
          <a:off x="5920737" y="1109662"/>
          <a:ext cx="1071155"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baseline="0"/>
            <a:t>Gender Wise Analysis</a:t>
          </a:r>
        </a:p>
        <a:p>
          <a:pPr algn="ctr"/>
          <a:endParaRPr lang="en-IN" sz="800"/>
        </a:p>
        <a:p>
          <a:pPr algn="ctr"/>
          <a:endParaRPr lang="en-IN" sz="1050"/>
        </a:p>
      </xdr:txBody>
    </xdr:sp>
    <xdr:clientData/>
  </xdr:twoCellAnchor>
  <xdr:twoCellAnchor>
    <xdr:from>
      <xdr:col>7</xdr:col>
      <xdr:colOff>128586</xdr:colOff>
      <xdr:row>7</xdr:row>
      <xdr:rowOff>19050</xdr:rowOff>
    </xdr:from>
    <xdr:to>
      <xdr:col>11</xdr:col>
      <xdr:colOff>380999</xdr:colOff>
      <xdr:row>13</xdr:row>
      <xdr:rowOff>142875</xdr:rowOff>
    </xdr:to>
    <xdr:graphicFrame macro="">
      <xdr:nvGraphicFramePr>
        <xdr:cNvPr id="20" name="Chart 19">
          <a:extLst>
            <a:ext uri="{FF2B5EF4-FFF2-40B4-BE49-F238E27FC236}">
              <a16:creationId xmlns:a16="http://schemas.microsoft.com/office/drawing/2014/main" id="{03DA070A-F1DB-422F-B4C1-6F1D7EBCF6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7</xdr:col>
      <xdr:colOff>176214</xdr:colOff>
      <xdr:row>13</xdr:row>
      <xdr:rowOff>142874</xdr:rowOff>
    </xdr:from>
    <xdr:to>
      <xdr:col>11</xdr:col>
      <xdr:colOff>219076</xdr:colOff>
      <xdr:row>14</xdr:row>
      <xdr:rowOff>118654</xdr:rowOff>
    </xdr:to>
    <xdr:sp macro="" textlink="">
      <xdr:nvSpPr>
        <xdr:cNvPr id="25" name="TextBox 24">
          <a:extLst>
            <a:ext uri="{FF2B5EF4-FFF2-40B4-BE49-F238E27FC236}">
              <a16:creationId xmlns:a16="http://schemas.microsoft.com/office/drawing/2014/main" id="{FC98DD3C-445E-832F-EF1C-5B207D133093}"/>
            </a:ext>
          </a:extLst>
        </xdr:cNvPr>
        <xdr:cNvSpPr txBox="1"/>
      </xdr:nvSpPr>
      <xdr:spPr>
        <a:xfrm>
          <a:off x="4443414" y="2495549"/>
          <a:ext cx="2481262" cy="15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Department</a:t>
          </a:r>
          <a:r>
            <a:rPr lang="en-IN" sz="1050" baseline="0"/>
            <a:t> </a:t>
          </a:r>
          <a:r>
            <a:rPr lang="en-IN" sz="800" baseline="0"/>
            <a:t>Referral</a:t>
          </a:r>
          <a:endParaRPr lang="en-IN" sz="1050"/>
        </a:p>
      </xdr:txBody>
    </xdr:sp>
    <xdr:clientData/>
  </xdr:twoCellAnchor>
  <xdr:twoCellAnchor editAs="oneCell">
    <xdr:from>
      <xdr:col>5</xdr:col>
      <xdr:colOff>214177</xdr:colOff>
      <xdr:row>0</xdr:row>
      <xdr:rowOff>100695</xdr:rowOff>
    </xdr:from>
    <xdr:to>
      <xdr:col>7</xdr:col>
      <xdr:colOff>19050</xdr:colOff>
      <xdr:row>3</xdr:row>
      <xdr:rowOff>9526</xdr:rowOff>
    </xdr:to>
    <mc:AlternateContent xmlns:mc="http://schemas.openxmlformats.org/markup-compatibility/2006" xmlns:a14="http://schemas.microsoft.com/office/drawing/2010/main">
      <mc:Choice Requires="a14">
        <xdr:graphicFrame macro="">
          <xdr:nvGraphicFramePr>
            <xdr:cNvPr id="30" name="Date (Year)">
              <a:extLst>
                <a:ext uri="{FF2B5EF4-FFF2-40B4-BE49-F238E27FC236}">
                  <a16:creationId xmlns:a16="http://schemas.microsoft.com/office/drawing/2014/main" id="{B310229B-46A8-49E5-BE9E-F7BCB60B5CA8}"/>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262177" y="100695"/>
              <a:ext cx="1024073" cy="4517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53340</xdr:colOff>
      <xdr:row>2</xdr:row>
      <xdr:rowOff>129540</xdr:rowOff>
    </xdr:from>
    <xdr:to>
      <xdr:col>18</xdr:col>
      <xdr:colOff>152400</xdr:colOff>
      <xdr:row>22</xdr:row>
      <xdr:rowOff>76200</xdr:rowOff>
    </xdr:to>
    <xdr:graphicFrame macro="">
      <xdr:nvGraphicFramePr>
        <xdr:cNvPr id="6" name="Chart 5">
          <a:extLst>
            <a:ext uri="{FF2B5EF4-FFF2-40B4-BE49-F238E27FC236}">
              <a16:creationId xmlns:a16="http://schemas.microsoft.com/office/drawing/2014/main" id="{5753E1A8-9213-415B-8B78-621C30D069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0.05296</cdr:x>
      <cdr:y>0.12685</cdr:y>
    </cdr:to>
    <cdr:pic>
      <cdr:nvPicPr>
        <cdr:cNvPr id="3" name="Graphic 2" descr="Return">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B0136579-67F7-70C5-C4C2-B25ADA24A6D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457200" cy="457200"/>
        </a:xfrm>
        <a:prstGeom xmlns:a="http://schemas.openxmlformats.org/drawingml/2006/main" prst="rect">
          <a:avLst/>
        </a:prstGeom>
        <a:ln xmlns:a="http://schemas.openxmlformats.org/drawingml/2006/main">
          <a:noFill/>
        </a:ln>
        <a:effectLst xmlns:a="http://schemas.openxmlformats.org/drawingml/2006/main"/>
        <a:scene3d xmlns:a="http://schemas.openxmlformats.org/drawingml/2006/main">
          <a:camera prst="orthographicFront">
            <a:rot lat="0" lon="0" rev="0"/>
          </a:camera>
          <a:lightRig rig="contrasting" dir="t">
            <a:rot lat="0" lon="0" rev="7800000"/>
          </a:lightRig>
        </a:scene3d>
        <a:sp3d xmlns:a="http://schemas.openxmlformats.org/drawingml/2006/main">
          <a:bevelT w="139700" h="139700"/>
        </a:sp3d>
      </cdr:spPr>
    </cdr:pic>
  </cdr:relSizeAnchor>
</c:userShapes>
</file>

<file path=xl/drawings/drawing5.xml><?xml version="1.0" encoding="utf-8"?>
<xdr:wsDr xmlns:xdr="http://schemas.openxmlformats.org/drawingml/2006/spreadsheetDrawing" xmlns:a="http://schemas.openxmlformats.org/drawingml/2006/main">
  <xdr:twoCellAnchor>
    <xdr:from>
      <xdr:col>4</xdr:col>
      <xdr:colOff>0</xdr:colOff>
      <xdr:row>2</xdr:row>
      <xdr:rowOff>0</xdr:rowOff>
    </xdr:from>
    <xdr:to>
      <xdr:col>18</xdr:col>
      <xdr:colOff>304800</xdr:colOff>
      <xdr:row>22</xdr:row>
      <xdr:rowOff>45720</xdr:rowOff>
    </xdr:to>
    <xdr:graphicFrame macro="">
      <xdr:nvGraphicFramePr>
        <xdr:cNvPr id="2" name="Chart 1">
          <a:extLst>
            <a:ext uri="{FF2B5EF4-FFF2-40B4-BE49-F238E27FC236}">
              <a16:creationId xmlns:a16="http://schemas.microsoft.com/office/drawing/2014/main" id="{7B1BD86A-1DEA-414F-9D16-86C1CD94AB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cdr:y>
    </cdr:from>
    <cdr:to>
      <cdr:x>0.04569</cdr:x>
      <cdr:y>0.10905</cdr:y>
    </cdr:to>
    <cdr:pic>
      <cdr:nvPicPr>
        <cdr:cNvPr id="3" name="Graphic 2" descr="Return">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35DA33CE-1AF7-E58F-99AC-213DFFF0496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403860" cy="403860"/>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4</xdr:col>
      <xdr:colOff>0</xdr:colOff>
      <xdr:row>3</xdr:row>
      <xdr:rowOff>0</xdr:rowOff>
    </xdr:from>
    <xdr:to>
      <xdr:col>19</xdr:col>
      <xdr:colOff>7620</xdr:colOff>
      <xdr:row>23</xdr:row>
      <xdr:rowOff>121920</xdr:rowOff>
    </xdr:to>
    <xdr:graphicFrame macro="">
      <xdr:nvGraphicFramePr>
        <xdr:cNvPr id="2" name="Chart 1">
          <a:extLst>
            <a:ext uri="{FF2B5EF4-FFF2-40B4-BE49-F238E27FC236}">
              <a16:creationId xmlns:a16="http://schemas.microsoft.com/office/drawing/2014/main" id="{62DCF4AB-FAD0-4E23-A093-B5FBCA5FEA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0.04663</cdr:x>
      <cdr:y>0.1129</cdr:y>
    </cdr:to>
    <cdr:pic>
      <cdr:nvPicPr>
        <cdr:cNvPr id="3" name="Graphic 2" descr="Return">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B495049-3C07-C59F-F3D2-F32EFE983D9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426720" cy="4267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5393517" createdVersion="5" refreshedVersion="8" minRefreshableVersion="3" recordCount="0" supportSubquery="1" supportAdvancedDrill="1" xr:uid="{3CE1CE1B-17C5-45A0-BC15-B77171B49BD2}">
  <cacheSource type="external" connectionId="3"/>
  <cacheFields count="4">
    <cacheField name="[Measures].[Distinct Count of Patient Id]" caption="Distinct Count of Patient Id" numFmtId="0" hierarchy="24" level="32767"/>
    <cacheField name="[Calendar_Table].[Date (Day)].[Date (Day)]" caption="Date (Day)" numFmtId="0" hierarchy="2"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5625001" createdVersion="5" refreshedVersion="8" minRefreshableVersion="3" recordCount="0" supportSubquery="1" supportAdvancedDrill="1" xr:uid="{76B21186-9BCB-4E04-8FFA-9F8EE5776B0F}">
  <cacheSource type="external" connectionId="3"/>
  <cacheFields count="3">
    <cacheField name="[Measures].[Distinct Count of Patient Id]" caption="Distinct Count of Patient Id" numFmtId="0" hierarchy="24"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574074" createdVersion="5" refreshedVersion="8" minRefreshableVersion="3" recordCount="0" supportSubquery="1" supportAdvancedDrill="1" xr:uid="{A2AFC7C6-8EA8-4056-BCEE-98B14B137017}">
  <cacheSource type="external" connectionId="3"/>
  <cacheFields count="3">
    <cacheField name="[Measures].[Average of Patient Waittime]" caption="Average of Patient Waittime" numFmtId="0" hierarchy="26"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5856479" createdVersion="5" refreshedVersion="8" minRefreshableVersion="3" recordCount="0" supportSubquery="1" supportAdvancedDrill="1" xr:uid="{C0AA1D50-860A-4A75-AD21-CC48D8693933}">
  <cacheSource type="external" connectionId="3"/>
  <cacheFields count="3">
    <cacheField name="[Measures].[Average of Patient Satisfaction Score]" caption="Average of Patient Satisfaction Score" numFmtId="0" hierarchy="28"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6203702" createdVersion="5" refreshedVersion="8" minRefreshableVersion="3" recordCount="0" supportSubquery="1" supportAdvancedDrill="1" xr:uid="{C2641078-B735-45B9-8670-16DF528B21D7}">
  <cacheSource type="external" connectionId="3"/>
  <cacheFields count="4">
    <cacheField name="[Calendar_Table].[Date (Day)].[Date (Day)]" caption="Date (Day)" numFmtId="0" hierarchy="2"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ar_Table].[Date (Month)].[Date (Month)]" caption="Date (Month)" numFmtId="0" hierarchy="1" level="1">
      <sharedItems containsSemiMixedTypes="0" containsNonDate="0" containsString="0"/>
    </cacheField>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678241" createdVersion="5" refreshedVersion="8" minRefreshableVersion="3" recordCount="0" supportSubquery="1" supportAdvancedDrill="1" xr:uid="{ACA94B89-7439-410A-8E9B-0E3063A4AEB2}">
  <cacheSource type="external" connectionId="3"/>
  <cacheFields count="4">
    <cacheField name="[Calendar_Table].[Date (Day)].[Date (Day)]" caption="Date (Day)" numFmtId="0" hierarchy="2"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a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7245372" createdVersion="5" refreshedVersion="8" minRefreshableVersion="3" recordCount="0" supportSubquery="1" supportAdvancedDrill="1" xr:uid="{94546246-2D3F-408C-9E6D-D541B00F6D67}">
  <cacheSource type="external" connectionId="3"/>
  <cacheFields count="5">
    <cacheField name="[Calendar_Table].[Date (Month)].[Date (Month)]" caption="Date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0" level="32767"/>
    <cacheField name="[Calendar_Table].[Date (Year)].[Date (Year)]" caption="Date (Year)" numFmtId="0" hierarchy="3" level="1">
      <sharedItems containsSemiMixedTypes="0" containsNonDate="0" containsString="0"/>
    </cacheField>
    <cacheField name="Dummy0" numFmtId="0" hierarchy="34" level="32767">
      <extLst>
        <ext xmlns:x14="http://schemas.microsoft.com/office/spreadsheetml/2009/9/main" uri="{63CAB8AC-B538-458d-9737-405883B0398D}">
          <x14:cacheField ignore="1"/>
        </ext>
      </extLst>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7592595" createdVersion="5" refreshedVersion="8" minRefreshableVersion="3" recordCount="0" supportSubquery="1" supportAdvancedDrill="1" xr:uid="{0567032D-17D6-4033-9194-6B5D9C9D4BD8}">
  <cacheSource type="external" connectionId="3"/>
  <cacheFields count="4">
    <cacheField name="[Calendar_Table].[Date (Month)].[Date (Month)]" caption="Date (Month)" numFmtId="0" hierarchy="1" level="1">
      <sharedItems containsSemiMixedTypes="0" containsNonDate="0" containsString="0"/>
    </cacheField>
    <cacheField name="[Hospital Emergency Room Data].[Age Group].[Age Group]" caption="Age Group" numFmtId="0" hierarchy="16" level="1">
      <sharedItems count="8">
        <s v="0-09"/>
        <s v="10-19"/>
        <s v="20-29"/>
        <s v="30-39"/>
        <s v="40-49"/>
        <s v="50-59"/>
        <s v="60-69"/>
        <s v="70-79"/>
      </sharedItems>
    </cacheField>
    <cacheField name="[Measures].[Count of Age Group]" caption="Count of Age Group" numFmtId="0" hierarchy="31"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7939818" createdVersion="5" refreshedVersion="8" minRefreshableVersion="3" recordCount="0" supportSubquery="1" supportAdvancedDrill="1" xr:uid="{2223FCB7-3D9B-426A-92DE-E835468BE7FE}">
  <cacheSource type="external" connectionId="3"/>
  <cacheFields count="4">
    <cacheField name="[Calendar_Table].[Date (Month)].[Date (Month)]" caption="Date (Month)" numFmtId="0" hierarchy="1" level="1">
      <sharedItems containsSemiMixedTypes="0" containsNonDate="0" containsString="0"/>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29"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8287034" createdVersion="5" refreshedVersion="8" minRefreshableVersion="3" recordCount="0" supportSubquery="1" supportAdvancedDrill="1" xr:uid="{84767A46-7798-4262-9A97-54016765250F}">
  <cacheSource type="external" connectionId="3"/>
  <cacheFields count="4">
    <cacheField name="[Calendar_Tabl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2"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8865742" createdVersion="5" refreshedVersion="8" minRefreshableVersion="3" recordCount="0" supportSubquery="1" supportAdvancedDrill="1" xr:uid="{4A01FD57-4A43-4EEE-9C2E-9EE641815A6B}">
  <cacheSource type="external" connectionId="3"/>
  <cacheFields count="4">
    <cacheField name="[Calendar_Table].[Date (Month)].[Date (Month)]" caption="Date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3"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5669212965" createdVersion="5" refreshedVersion="8" minRefreshableVersion="3" recordCount="0" supportSubquery="1" supportAdvancedDrill="1" xr:uid="{2A3C24DF-D626-4810-A58C-8403F3486444}">
  <cacheSource type="external" connectionId="3"/>
  <cacheFields count="4">
    <cacheField name="[Calendar_Table].[Date (Month)].[Date (Month)]" caption="Date (Month)" numFmtId="0" hierarchy="1" level="1">
      <sharedItems count="1">
        <s v="Jan"/>
      </sharedItems>
    </cacheField>
    <cacheField name="[Calendar_Table].[Date].[Date]" caption="Date" numFmtId="0" level="1">
      <sharedItems containsSemiMixedTypes="0" containsNonDate="0" containsDate="1" containsString="0" minDate="2023-01-01T00:00:00" maxDate="2024-02-01T00:00:00" count="62">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sharedItems>
    </cacheField>
    <cacheField name="[Calendar_Table].[Date (Quarter)].[Date (Quarter)]" caption="Date (Quarter)" numFmtId="0" hierarchy="4" level="1">
      <sharedItems count="1">
        <s v="Qtr1"/>
      </sharedItems>
    </cacheField>
    <cacheField name="[Calendar_Table].[Date (Year)].[Date (Year)]" caption="Date (Year)" numFmtId="0" hierarchy="3" level="1">
      <sharedItems count="1">
        <s v="2023"/>
      </sharedItems>
    </cacheField>
  </cacheFields>
  <cacheHierarchies count="34">
    <cacheHierarchy uniqueName="[Calendar_Table].[Date]" caption="Date" attribute="1" time="1" defaultMemberUniqueName="[Calendar_Table].[Date].[All]" allUniqueName="[Calendar_Table].[Date].[All]" dimensionUniqueName="[Calendar_Table]" displayFolder="" count="2" memberValueDatatype="7" unbalanced="0">
      <fieldsUsage count="2">
        <fieldUsage x="-1"/>
        <fieldUsage x="1"/>
      </fieldsUsage>
    </cacheHierarchy>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MEET" refreshedDate="45854.82324351852" createdVersion="3" refreshedVersion="8" minRefreshableVersion="3" recordCount="0" supportSubquery="1" supportAdvancedDrill="1" xr:uid="{B7E162E6-AA38-4276-94D5-99AA4A1A2334}">
  <cacheSource type="external" connectionId="3">
    <extLst>
      <ext xmlns:x14="http://schemas.microsoft.com/office/spreadsheetml/2009/9/main" uri="{F057638F-6D5F-4e77-A914-E7F072B9BCA8}">
        <x14:sourceConnection name="ThisWorkbookDataModel"/>
      </ext>
    </extLst>
  </cacheSource>
  <cacheFields count="0"/>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0607153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1A0697-5424-4E0F-B511-E62296652C25}" name="PivotTable7" cacheId="6"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chartFormat="5">
  <location ref="A17:C20"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formats count="2">
    <format dxfId="1">
      <pivotArea outline="0" collapsedLevelsAreSubtotals="1" fieldPosition="0"/>
    </format>
    <format dxfId="0">
      <pivotArea outline="0" fieldPosition="0">
        <references count="1">
          <reference field="4294967294" count="1">
            <x v="1"/>
          </reference>
        </references>
      </pivotArea>
    </format>
  </format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pivotArea type="data" outline="0" fieldPosition="0">
        <references count="2">
          <reference field="4294967294" count="1" selected="0">
            <x v="0"/>
          </reference>
          <reference field="1" count="1" selected="0">
            <x v="0"/>
          </reference>
        </references>
      </pivotArea>
    </chartFormat>
    <chartFormat chart="4" format="3">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6D8B2C-768E-4618-B1C6-1BAFBC7F37AA}" name="PivotTable12" cacheId="11"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chartFormat="19">
  <location ref="A69:A71" firstHeaderRow="1" firstDataRow="1" firstDataCol="1"/>
  <pivotFields count="4">
    <pivotField axis="axisRow" allDrilled="1" subtotalTop="0" showAll="0" dataSourceSort="1" defaultSubtotal="0">
      <items count="1">
        <item x="0" e="0"/>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3"/>
    <field x="2"/>
    <field x="0"/>
    <field x="1"/>
  </rowFields>
  <rowItems count="2">
    <i>
      <x/>
    </i>
    <i t="grand">
      <x/>
    </i>
  </rowItems>
  <formats count="1">
    <format dxfId="2">
      <pivotArea outline="0" collapsedLevelsAreSubtotals="1" fieldPosition="0"/>
    </format>
  </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43CD08-3752-470A-96BF-71F2E991C58B}" name="PivotTable11" cacheId="10"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chartFormat="19">
  <location ref="A58:B67"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3"/>
    </i>
    <i>
      <x v="6"/>
    </i>
    <i>
      <x v="1"/>
    </i>
    <i>
      <x/>
    </i>
    <i>
      <x v="5"/>
    </i>
    <i>
      <x v="2"/>
    </i>
    <i>
      <x v="4"/>
    </i>
    <i t="grand">
      <x/>
    </i>
  </rowItems>
  <colItems count="1">
    <i/>
  </colItems>
  <dataFields count="1">
    <dataField name="Count of Department Referral" fld="2" subtotal="count" baseField="0" baseItem="0"/>
  </dataFields>
  <formats count="1">
    <format dxfId="3">
      <pivotArea outline="0" collapsedLevelsAreSubtotals="1" fieldPosition="0"/>
    </format>
  </formats>
  <chartFormats count="1">
    <chartFormat chart="18"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672BB7-3E50-465A-B368-5CAE7F350B52}" name="PivotTable1" cacheId="1" applyNumberFormats="0" applyBorderFormats="0" applyFontFormats="0" applyPatternFormats="0" applyAlignmentFormats="0" applyWidthHeightFormats="1" dataCaption="Values" tag="32fd20e8-51ec-4dc0-98d2-4dc6cbb76544" updatedVersion="8" minRefreshableVersion="3" subtotalHiddenItems="1"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6D7E64-3072-4F37-ACC9-F3E3EC2A6DE9}" name="PivotTable6" cacheId="5" applyNumberFormats="0" applyBorderFormats="0" applyFontFormats="0" applyPatternFormats="0" applyAlignmentFormats="0" applyWidthHeightFormats="1" dataCaption="Values" tag="39d8875b-4fbe-4da5-a753-f9b6e4ace2c9" updatedVersion="8" minRefreshableVersion="3" subtotalHiddenItems="1" itemPrintTitles="1" createdVersion="5" indent="0" outline="1" outlineData="1" multipleFieldFilters="0" chartFormat="40">
  <location ref="M4:N35"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0"/>
  </dataFields>
  <formats count="1">
    <format dxfId="4">
      <pivotArea outline="0" collapsedLevelsAreSubtotals="1" fieldPosition="0"/>
    </format>
  </formats>
  <chartFormats count="2">
    <chartFormat chart="35" format="2" series="1">
      <pivotArea type="data" outline="0" fieldPosition="0">
        <references count="1">
          <reference field="4294967294" count="1" selected="0">
            <x v="0"/>
          </reference>
        </references>
      </pivotArea>
    </chartFormat>
    <chartFormat chart="37"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A364A0-C021-4BB1-A7FD-1915D807B525}" name="PivotTable10" cacheId="9"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chartFormat="16">
  <location ref="A51:B54"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formats count="1">
    <format dxfId="5">
      <pivotArea outline="0" collapsedLevelsAreSubtotals="1" fieldPosition="0"/>
    </format>
  </formats>
  <chartFormats count="3">
    <chartFormat chart="15" format="4" series="1">
      <pivotArea type="data" outline="0" fieldPosition="0">
        <references count="1">
          <reference field="4294967294" count="1" selected="0">
            <x v="0"/>
          </reference>
        </references>
      </pivotArea>
    </chartFormat>
    <chartFormat chart="15" format="5">
      <pivotArea type="data" outline="0" fieldPosition="0">
        <references count="2">
          <reference field="4294967294" count="1" selected="0">
            <x v="0"/>
          </reference>
          <reference field="1" count="1" selected="0">
            <x v="0"/>
          </reference>
        </references>
      </pivotArea>
    </chartFormat>
    <chartFormat chart="15"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D10212-1851-4EA6-B244-B879189B4CD9}" name="PivotTable3" cacheId="4" applyNumberFormats="0" applyBorderFormats="0" applyFontFormats="0" applyPatternFormats="0" applyAlignmentFormats="0" applyWidthHeightFormats="1" dataCaption="Values" tag="39d8875b-4fbe-4da5-a753-f9b6e4ace2c9" updatedVersion="8" minRefreshableVersion="3" subtotalHiddenItems="1" itemPrintTitles="1" createdVersion="5" indent="0" outline="1" outlineData="1" multipleFieldFilters="0" chartFormat="33">
  <location ref="J4:K35"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numFmtId="2"/>
  </dataFields>
  <formats count="1">
    <format dxfId="6">
      <pivotArea outline="0" collapsedLevelsAreSubtotals="1" fieldPosition="0"/>
    </format>
  </formats>
  <chartFormats count="2">
    <chartFormat chart="28" format="2"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9FDFFB1-ABA7-4574-BAA5-BA45614B0168}" name="PivotTable5" cacheId="0" applyNumberFormats="0" applyBorderFormats="0" applyFontFormats="0" applyPatternFormats="0" applyAlignmentFormats="0" applyWidthHeightFormats="1" dataCaption="Values" tag="39d8875b-4fbe-4da5-a753-f9b6e4ace2c9" updatedVersion="8" minRefreshableVersion="3" subtotalHiddenItems="1" itemPrintTitles="1" createdVersion="5" indent="0" outline="1" outlineData="1" multipleFieldFilters="0" chartFormat="26">
  <location ref="G4:H35" firstHeaderRow="1" firstDataRow="1" firstDataCol="1"/>
  <pivotFields count="4">
    <pivotField dataField="1" subtotalTop="0" showAll="0" defaultSubtotal="0"/>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8">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 chart="23" format="6"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F617F6A-9C16-42B2-8D14-B1C29D854D70}" name="PivotTable9" cacheId="8"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chartFormat="12">
  <location ref="A45:B48"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1">
    <format dxfId="7">
      <pivotArea outline="0" collapsedLevelsAreSubtotals="1" fieldPosition="0"/>
    </format>
  </formats>
  <chartFormats count="3">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1" count="1" selected="0">
            <x v="0"/>
          </reference>
        </references>
      </pivotArea>
    </chartFormat>
    <chartFormat chart="10"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85E475E-7626-4CE6-88F4-89F88CCA2D0E}" name="PivotTable4" cacheId="3"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location ref="A13:A1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8">
      <pivotArea outline="0" collapsedLevelsAreSubtotals="1" fieldPosition="0"/>
    </format>
  </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B2620DD-2D0F-4E1B-AEC2-1E5807D33A98}" name="PivotTable8" cacheId="7" applyNumberFormats="0" applyBorderFormats="0" applyFontFormats="0" applyPatternFormats="0" applyAlignmentFormats="0" applyWidthHeightFormats="1" dataCaption="Values" tag="363d6c26-0334-4d24-afc0-286dbe3b22e7" updatedVersion="8" minRefreshableVersion="3" subtotalHiddenItems="1" itemPrintTitles="1" createdVersion="5" indent="0" outline="1" outlineData="1" multipleFieldFilters="0" chartFormat="8">
  <location ref="A33:B42"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 Group" fld="2" subtotal="count" baseField="0" baseItem="0" numFmtId="1"/>
  </dataFields>
  <formats count="1">
    <format dxfId="9">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EFB824-6105-4E58-90AE-3C9CC62E07D2}" name="PivotTable2" cacheId="2" applyNumberFormats="0" applyBorderFormats="0" applyFontFormats="0" applyPatternFormats="0" applyAlignmentFormats="0" applyWidthHeightFormats="1" dataCaption="Values" tag="f3c8c867-74a6-4385-803c-bc65b26ce4d6" updatedVersion="8" minRefreshableVersion="3" subtotalHiddenItems="1"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0">
      <pivotArea outline="0" collapsedLevelsAreSubtotals="1" fieldPosition="0"/>
    </format>
  </formats>
  <pivotHierarchies count="34">
    <pivotHierarchy dragToData="1"/>
    <pivotHierarchy multipleItemSelectionAllowed="1" dragToData="1">
      <members count="1" level="1">
        <member name="[Calendar_Table].[Date (Month)].&amp;[Apr]"/>
      </members>
    </pivotHierarchy>
    <pivotHierarchy dragToData="1"/>
    <pivotHierarchy multipleItemSelectionAllowed="1" dragToData="1">
      <members count="1" level="1">
        <member name="[Calenda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22DD42C-93F5-4720-B3DE-40F8E8AA9D0C}" sourceName="[Calendar_Table].[Date (Month)]">
  <pivotTables>
    <pivotTable tabId="1" name="PivotTable5"/>
    <pivotTable tabId="1" name="PivotTable1"/>
    <pivotTable tabId="1" name="PivotTable2"/>
    <pivotTable tabId="1" name="PivotTable4"/>
    <pivotTable tabId="1" name="PivotTable3"/>
    <pivotTable tabId="1" name="PivotTable6"/>
    <pivotTable tabId="1" name="PivotTable7"/>
    <pivotTable tabId="1" name="PivotTable8"/>
    <pivotTable tabId="1" name="PivotTable9"/>
    <pivotTable tabId="1" name="PivotTable10"/>
    <pivotTable tabId="1" name="PivotTable11"/>
    <pivotTable tabId="1" name="PivotTable12"/>
  </pivotTables>
  <data>
    <olap pivotCacheId="1060715356">
      <levels count="2">
        <level uniqueName="[Calendar_Table].[Date (Month)].[(All)]" sourceCaption="(All)" count="0"/>
        <level uniqueName="[Calendar_Table].[Date (Month)].[Date (Month)]" sourceCaption="Date (Month)" count="12">
          <ranges>
            <range startItem="0">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i n="[Calendar_Table].[Date (Month)].&amp;[Jan]" c="Jan"/>
              <i n="[Calendar_Table].[Date (Month)].&amp;[Feb]" c="Feb"/>
              <i n="[Calendar_Table].[Date (Month)].&amp;[Mar]" c="Mar"/>
            </range>
          </ranges>
        </level>
      </levels>
      <selections count="1">
        <selection n="[Calendar_Table].[Date (Month)].&amp;[Apr]"/>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1677F138-E68C-4629-B295-BFE5C0EC2DC4}" sourceName="[Calendar_Table].[Date (Year)]">
  <pivotTables>
    <pivotTable tabId="1" name="PivotTable12"/>
    <pivotTable tabId="1" name="PivotTable1"/>
    <pivotTable tabId="1" name="PivotTable10"/>
    <pivotTable tabId="1" name="PivotTable1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1060715356">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F6413C9F-610B-4647-AB13-3C1C06E19383}" cache="Slicer_Date__Month" caption="Date (Month)" showCaption="0" level="1" style="My Style" rowHeight="126000"/>
  <slicer name="Date (Year)" xr10:uid="{864E074A-5A48-47B2-9A7B-E6FCA388BA16}" cache="Slicer_Date__Year" caption="Date (Year)" columnCount="2" showCaption="0" level="1" style="My Style"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25D8-EBC2-46FA-AA9E-1FBCEFCA141E}">
  <dimension ref="A3:N71"/>
  <sheetViews>
    <sheetView topLeftCell="A62" zoomScale="130" zoomScaleNormal="130" workbookViewId="0">
      <selection activeCell="A70" sqref="A70"/>
    </sheetView>
  </sheetViews>
  <sheetFormatPr defaultRowHeight="14.4" x14ac:dyDescent="0.3"/>
  <cols>
    <col min="1" max="1" width="19.109375" customWidth="1"/>
    <col min="2" max="2" width="14" customWidth="1"/>
    <col min="3" max="3" width="9.77734375" customWidth="1"/>
    <col min="4" max="4" width="21.88671875" customWidth="1"/>
    <col min="5" max="6" width="29.109375" customWidth="1"/>
    <col min="7" max="7" width="12.5546875" bestFit="1" customWidth="1"/>
    <col min="8" max="8" width="23.88671875" bestFit="1" customWidth="1"/>
    <col min="10" max="10" width="12.6640625" bestFit="1" customWidth="1"/>
    <col min="11" max="11" width="23.88671875" bestFit="1" customWidth="1"/>
    <col min="13" max="13" width="16.44140625" bestFit="1" customWidth="1"/>
    <col min="14" max="14" width="32.44140625" bestFit="1" customWidth="1"/>
  </cols>
  <sheetData>
    <row r="3" spans="1:14" x14ac:dyDescent="0.3">
      <c r="A3" t="s">
        <v>1</v>
      </c>
      <c r="G3" t="s">
        <v>36</v>
      </c>
      <c r="J3" t="s">
        <v>37</v>
      </c>
      <c r="M3" t="s">
        <v>38</v>
      </c>
    </row>
    <row r="4" spans="1:14" x14ac:dyDescent="0.3">
      <c r="A4" t="s">
        <v>0</v>
      </c>
      <c r="G4" s="1" t="s">
        <v>4</v>
      </c>
      <c r="H4" t="s">
        <v>0</v>
      </c>
      <c r="J4" s="1" t="s">
        <v>4</v>
      </c>
      <c r="K4" t="s">
        <v>2</v>
      </c>
      <c r="M4" s="1" t="s">
        <v>4</v>
      </c>
      <c r="N4" t="s">
        <v>3</v>
      </c>
    </row>
    <row r="5" spans="1:14" x14ac:dyDescent="0.3">
      <c r="A5" s="5">
        <v>479</v>
      </c>
      <c r="G5" s="4" t="s">
        <v>6</v>
      </c>
      <c r="H5" s="5">
        <v>19</v>
      </c>
      <c r="J5" s="4" t="s">
        <v>6</v>
      </c>
      <c r="K5" s="2">
        <v>40.473684210526315</v>
      </c>
      <c r="M5" s="4" t="s">
        <v>6</v>
      </c>
      <c r="N5" s="2">
        <v>3.8</v>
      </c>
    </row>
    <row r="6" spans="1:14" x14ac:dyDescent="0.3">
      <c r="G6" s="4" t="s">
        <v>7</v>
      </c>
      <c r="H6" s="5">
        <v>13</v>
      </c>
      <c r="J6" s="4" t="s">
        <v>7</v>
      </c>
      <c r="K6" s="2">
        <v>29.46153846153846</v>
      </c>
      <c r="M6" s="4" t="s">
        <v>7</v>
      </c>
      <c r="N6" s="2">
        <v>7.75</v>
      </c>
    </row>
    <row r="7" spans="1:14" x14ac:dyDescent="0.3">
      <c r="G7" s="4" t="s">
        <v>8</v>
      </c>
      <c r="H7" s="5">
        <v>14</v>
      </c>
      <c r="J7" s="4" t="s">
        <v>8</v>
      </c>
      <c r="K7" s="2">
        <v>33.928571428571431</v>
      </c>
      <c r="M7" s="4" t="s">
        <v>8</v>
      </c>
      <c r="N7" s="2">
        <v>4.5999999999999996</v>
      </c>
    </row>
    <row r="8" spans="1:14" x14ac:dyDescent="0.3">
      <c r="A8" t="s">
        <v>2</v>
      </c>
      <c r="G8" s="4" t="s">
        <v>9</v>
      </c>
      <c r="H8" s="5">
        <v>9</v>
      </c>
      <c r="J8" s="4" t="s">
        <v>9</v>
      </c>
      <c r="K8" s="2">
        <v>32.222222222222221</v>
      </c>
      <c r="M8" s="4" t="s">
        <v>9</v>
      </c>
      <c r="N8" s="2">
        <v>6</v>
      </c>
    </row>
    <row r="9" spans="1:14" x14ac:dyDescent="0.3">
      <c r="A9" s="2">
        <v>34.90187891440501</v>
      </c>
      <c r="G9" s="4" t="s">
        <v>10</v>
      </c>
      <c r="H9" s="5">
        <v>19</v>
      </c>
      <c r="J9" s="4" t="s">
        <v>10</v>
      </c>
      <c r="K9" s="2">
        <v>35.736842105263158</v>
      </c>
      <c r="M9" s="4" t="s">
        <v>10</v>
      </c>
      <c r="N9" s="2">
        <v>5.5714285714285712</v>
      </c>
    </row>
    <row r="10" spans="1:14" x14ac:dyDescent="0.3">
      <c r="G10" s="4" t="s">
        <v>11</v>
      </c>
      <c r="H10" s="5">
        <v>14</v>
      </c>
      <c r="J10" s="4" t="s">
        <v>11</v>
      </c>
      <c r="K10" s="2">
        <v>30.142857142857142</v>
      </c>
      <c r="M10" s="4" t="s">
        <v>11</v>
      </c>
      <c r="N10" s="2">
        <v>2</v>
      </c>
    </row>
    <row r="11" spans="1:14" x14ac:dyDescent="0.3">
      <c r="G11" s="4" t="s">
        <v>12</v>
      </c>
      <c r="H11" s="5">
        <v>11</v>
      </c>
      <c r="J11" s="4" t="s">
        <v>12</v>
      </c>
      <c r="K11" s="2">
        <v>33.81818181818182</v>
      </c>
      <c r="M11" s="4" t="s">
        <v>12</v>
      </c>
      <c r="N11" s="2">
        <v>8</v>
      </c>
    </row>
    <row r="12" spans="1:14" x14ac:dyDescent="0.3">
      <c r="G12" s="4" t="s">
        <v>13</v>
      </c>
      <c r="H12" s="5">
        <v>22</v>
      </c>
      <c r="J12" s="4" t="s">
        <v>13</v>
      </c>
      <c r="K12" s="2">
        <v>31.681818181818183</v>
      </c>
      <c r="M12" s="4" t="s">
        <v>13</v>
      </c>
      <c r="N12" s="2">
        <v>8</v>
      </c>
    </row>
    <row r="13" spans="1:14" x14ac:dyDescent="0.3">
      <c r="A13" t="s">
        <v>3</v>
      </c>
      <c r="G13" s="4" t="s">
        <v>14</v>
      </c>
      <c r="H13" s="5">
        <v>12</v>
      </c>
      <c r="J13" s="4" t="s">
        <v>14</v>
      </c>
      <c r="K13" s="2">
        <v>36.416666666666664</v>
      </c>
      <c r="M13" s="4" t="s">
        <v>14</v>
      </c>
      <c r="N13" s="2">
        <v>5.25</v>
      </c>
    </row>
    <row r="14" spans="1:14" x14ac:dyDescent="0.3">
      <c r="A14" s="2">
        <v>5.3034482758620687</v>
      </c>
      <c r="G14" s="4" t="s">
        <v>15</v>
      </c>
      <c r="H14" s="5">
        <v>13</v>
      </c>
      <c r="J14" s="4" t="s">
        <v>15</v>
      </c>
      <c r="K14" s="2">
        <v>33.692307692307693</v>
      </c>
      <c r="M14" s="4" t="s">
        <v>15</v>
      </c>
      <c r="N14" s="2">
        <v>6</v>
      </c>
    </row>
    <row r="15" spans="1:14" x14ac:dyDescent="0.3">
      <c r="G15" s="4" t="s">
        <v>16</v>
      </c>
      <c r="H15" s="5">
        <v>17</v>
      </c>
      <c r="J15" s="4" t="s">
        <v>16</v>
      </c>
      <c r="K15" s="2">
        <v>39.117647058823529</v>
      </c>
      <c r="M15" s="4" t="s">
        <v>16</v>
      </c>
      <c r="N15" s="2">
        <v>6.5</v>
      </c>
    </row>
    <row r="16" spans="1:14" x14ac:dyDescent="0.3">
      <c r="G16" s="4" t="s">
        <v>17</v>
      </c>
      <c r="H16" s="5">
        <v>30</v>
      </c>
      <c r="J16" s="4" t="s">
        <v>17</v>
      </c>
      <c r="K16" s="2">
        <v>36.93333333333333</v>
      </c>
      <c r="M16" s="4" t="s">
        <v>17</v>
      </c>
      <c r="N16" s="2">
        <v>5.75</v>
      </c>
    </row>
    <row r="17" spans="1:14" x14ac:dyDescent="0.3">
      <c r="A17" s="1" t="s">
        <v>4</v>
      </c>
      <c r="B17" t="s">
        <v>40</v>
      </c>
      <c r="C17" t="s">
        <v>43</v>
      </c>
      <c r="G17" s="4" t="s">
        <v>18</v>
      </c>
      <c r="H17" s="5">
        <v>13</v>
      </c>
      <c r="J17" s="4" t="s">
        <v>18</v>
      </c>
      <c r="K17" s="2">
        <v>29.923076923076923</v>
      </c>
      <c r="M17" s="4" t="s">
        <v>18</v>
      </c>
      <c r="N17" s="2">
        <v>5.6</v>
      </c>
    </row>
    <row r="18" spans="1:14" x14ac:dyDescent="0.3">
      <c r="A18" s="4" t="s">
        <v>41</v>
      </c>
      <c r="B18" s="2">
        <v>237</v>
      </c>
      <c r="C18" s="8">
        <v>0.49478079331941544</v>
      </c>
      <c r="D18" s="8"/>
      <c r="E18" s="8"/>
      <c r="F18" s="8"/>
      <c r="G18" s="4" t="s">
        <v>19</v>
      </c>
      <c r="H18" s="5">
        <v>21</v>
      </c>
      <c r="J18" s="4" t="s">
        <v>19</v>
      </c>
      <c r="K18" s="2">
        <v>31.666666666666668</v>
      </c>
      <c r="M18" s="4" t="s">
        <v>19</v>
      </c>
      <c r="N18" s="2">
        <v>6.5</v>
      </c>
    </row>
    <row r="19" spans="1:14" x14ac:dyDescent="0.3">
      <c r="A19" s="4" t="s">
        <v>42</v>
      </c>
      <c r="B19" s="2">
        <v>242</v>
      </c>
      <c r="C19" s="8">
        <v>0.50521920668058451</v>
      </c>
      <c r="D19" s="8"/>
      <c r="E19" s="8"/>
      <c r="F19" s="8"/>
      <c r="G19" s="4" t="s">
        <v>20</v>
      </c>
      <c r="H19" s="5">
        <v>12</v>
      </c>
      <c r="J19" s="4" t="s">
        <v>20</v>
      </c>
      <c r="K19" s="2">
        <v>40.25</v>
      </c>
      <c r="M19" s="4" t="s">
        <v>20</v>
      </c>
      <c r="N19" s="2">
        <v>5.666666666666667</v>
      </c>
    </row>
    <row r="20" spans="1:14" x14ac:dyDescent="0.3">
      <c r="A20" s="4" t="s">
        <v>5</v>
      </c>
      <c r="B20" s="2">
        <v>479</v>
      </c>
      <c r="C20" s="8">
        <v>1</v>
      </c>
      <c r="D20" s="8"/>
      <c r="E20" s="8"/>
      <c r="F20" s="8"/>
      <c r="G20" s="4" t="s">
        <v>21</v>
      </c>
      <c r="H20" s="5">
        <v>17</v>
      </c>
      <c r="J20" s="4" t="s">
        <v>21</v>
      </c>
      <c r="K20" s="2">
        <v>30</v>
      </c>
      <c r="M20" s="4" t="s">
        <v>21</v>
      </c>
      <c r="N20" s="2">
        <v>5.666666666666667</v>
      </c>
    </row>
    <row r="21" spans="1:14" x14ac:dyDescent="0.3">
      <c r="G21" s="4" t="s">
        <v>22</v>
      </c>
      <c r="H21" s="5">
        <v>16</v>
      </c>
      <c r="J21" s="4" t="s">
        <v>22</v>
      </c>
      <c r="K21" s="2">
        <v>35</v>
      </c>
      <c r="M21" s="4" t="s">
        <v>22</v>
      </c>
      <c r="N21" s="2">
        <v>5.8</v>
      </c>
    </row>
    <row r="22" spans="1:14" x14ac:dyDescent="0.3">
      <c r="G22" s="4" t="s">
        <v>23</v>
      </c>
      <c r="H22" s="5">
        <v>20</v>
      </c>
      <c r="J22" s="4" t="s">
        <v>23</v>
      </c>
      <c r="K22" s="2">
        <v>41.85</v>
      </c>
      <c r="M22" s="4" t="s">
        <v>23</v>
      </c>
      <c r="N22" s="2">
        <v>4.666666666666667</v>
      </c>
    </row>
    <row r="23" spans="1:14" x14ac:dyDescent="0.3">
      <c r="G23" s="4" t="s">
        <v>24</v>
      </c>
      <c r="H23" s="5">
        <v>18</v>
      </c>
      <c r="J23" s="4" t="s">
        <v>24</v>
      </c>
      <c r="K23" s="2">
        <v>33.277777777777779</v>
      </c>
      <c r="M23" s="4" t="s">
        <v>24</v>
      </c>
      <c r="N23" s="2">
        <v>4.833333333333333</v>
      </c>
    </row>
    <row r="24" spans="1:14" x14ac:dyDescent="0.3">
      <c r="G24" s="4" t="s">
        <v>25</v>
      </c>
      <c r="H24" s="5">
        <v>16</v>
      </c>
      <c r="J24" s="4" t="s">
        <v>25</v>
      </c>
      <c r="K24" s="2">
        <v>32.9375</v>
      </c>
      <c r="M24" s="4" t="s">
        <v>25</v>
      </c>
      <c r="N24" s="2">
        <v>2.3333333333333335</v>
      </c>
    </row>
    <row r="25" spans="1:14" x14ac:dyDescent="0.3">
      <c r="G25" s="4" t="s">
        <v>26</v>
      </c>
      <c r="H25" s="5">
        <v>15</v>
      </c>
      <c r="J25" s="4" t="s">
        <v>26</v>
      </c>
      <c r="K25" s="2">
        <v>33.266666666666666</v>
      </c>
      <c r="M25" s="4" t="s">
        <v>26</v>
      </c>
      <c r="N25" s="2">
        <v>4.5</v>
      </c>
    </row>
    <row r="26" spans="1:14" x14ac:dyDescent="0.3">
      <c r="G26" s="4" t="s">
        <v>27</v>
      </c>
      <c r="H26" s="5">
        <v>18</v>
      </c>
      <c r="J26" s="4" t="s">
        <v>27</v>
      </c>
      <c r="K26" s="2">
        <v>34.444444444444443</v>
      </c>
      <c r="M26" s="4" t="s">
        <v>27</v>
      </c>
      <c r="N26" s="2">
        <v>6.666666666666667</v>
      </c>
    </row>
    <row r="27" spans="1:14" x14ac:dyDescent="0.3">
      <c r="A27" s="9" t="s">
        <v>44</v>
      </c>
      <c r="B27" s="9" t="s">
        <v>45</v>
      </c>
      <c r="C27" s="9" t="s">
        <v>46</v>
      </c>
      <c r="D27" s="9"/>
      <c r="G27" s="4" t="s">
        <v>28</v>
      </c>
      <c r="H27" s="5">
        <v>12</v>
      </c>
      <c r="J27" s="4" t="s">
        <v>28</v>
      </c>
      <c r="K27" s="2">
        <v>43.416666666666664</v>
      </c>
      <c r="M27" s="4" t="s">
        <v>28</v>
      </c>
      <c r="N27" s="2">
        <v>7.5</v>
      </c>
    </row>
    <row r="28" spans="1:14" x14ac:dyDescent="0.3">
      <c r="A28" s="10" t="str">
        <f>A19</f>
        <v>Not Admitted</v>
      </c>
      <c r="B28" s="10">
        <f>B19</f>
        <v>242</v>
      </c>
      <c r="C28" s="11">
        <f>C19</f>
        <v>0.50521920668058451</v>
      </c>
      <c r="D28" s="10"/>
      <c r="G28" s="4" t="s">
        <v>29</v>
      </c>
      <c r="H28" s="5">
        <v>14</v>
      </c>
      <c r="J28" s="4" t="s">
        <v>29</v>
      </c>
      <c r="K28" s="2">
        <v>36.357142857142854</v>
      </c>
      <c r="M28" s="4" t="s">
        <v>29</v>
      </c>
      <c r="N28" s="2">
        <v>5.2857142857142856</v>
      </c>
    </row>
    <row r="29" spans="1:14" x14ac:dyDescent="0.3">
      <c r="A29" s="10" t="str">
        <f>A18</f>
        <v>Admitted</v>
      </c>
      <c r="B29" s="10">
        <f>B18</f>
        <v>237</v>
      </c>
      <c r="C29" s="11">
        <f>C18</f>
        <v>0.49478079331941544</v>
      </c>
      <c r="D29" s="10"/>
      <c r="G29" s="4" t="s">
        <v>30</v>
      </c>
      <c r="H29" s="5">
        <v>18</v>
      </c>
      <c r="J29" s="4" t="s">
        <v>30</v>
      </c>
      <c r="K29" s="2">
        <v>40.611111111111114</v>
      </c>
      <c r="M29" s="4" t="s">
        <v>30</v>
      </c>
      <c r="N29" s="2">
        <v>2.875</v>
      </c>
    </row>
    <row r="30" spans="1:14" x14ac:dyDescent="0.3">
      <c r="G30" s="4" t="s">
        <v>31</v>
      </c>
      <c r="H30" s="5">
        <v>16</v>
      </c>
      <c r="J30" s="4" t="s">
        <v>31</v>
      </c>
      <c r="K30" s="2">
        <v>29.875</v>
      </c>
      <c r="M30" s="4" t="s">
        <v>31</v>
      </c>
      <c r="N30" s="2">
        <v>6.25</v>
      </c>
    </row>
    <row r="31" spans="1:14" x14ac:dyDescent="0.3">
      <c r="G31" s="4" t="s">
        <v>32</v>
      </c>
      <c r="H31" s="5">
        <v>16</v>
      </c>
      <c r="J31" s="4" t="s">
        <v>32</v>
      </c>
      <c r="K31" s="2">
        <v>33.5</v>
      </c>
      <c r="M31" s="4" t="s">
        <v>32</v>
      </c>
      <c r="N31" s="2">
        <v>6.125</v>
      </c>
    </row>
    <row r="32" spans="1:14" x14ac:dyDescent="0.3">
      <c r="A32" t="s">
        <v>56</v>
      </c>
      <c r="G32" s="4" t="s">
        <v>33</v>
      </c>
      <c r="H32" s="5">
        <v>16</v>
      </c>
      <c r="J32" s="4" t="s">
        <v>33</v>
      </c>
      <c r="K32" s="2">
        <v>32.5625</v>
      </c>
      <c r="M32" s="4" t="s">
        <v>33</v>
      </c>
      <c r="N32" s="2">
        <v>5.75</v>
      </c>
    </row>
    <row r="33" spans="1:14" x14ac:dyDescent="0.3">
      <c r="A33" s="1" t="s">
        <v>4</v>
      </c>
      <c r="B33" t="s">
        <v>55</v>
      </c>
      <c r="G33" s="4" t="s">
        <v>34</v>
      </c>
      <c r="H33" s="5">
        <v>14</v>
      </c>
      <c r="J33" s="4" t="s">
        <v>34</v>
      </c>
      <c r="K33" s="2">
        <v>38.571428571428569</v>
      </c>
      <c r="M33" s="4" t="s">
        <v>34</v>
      </c>
      <c r="N33" s="2">
        <v>5.375</v>
      </c>
    </row>
    <row r="34" spans="1:14" x14ac:dyDescent="0.3">
      <c r="A34" s="4" t="s">
        <v>47</v>
      </c>
      <c r="B34" s="7">
        <v>70</v>
      </c>
      <c r="G34" s="4" t="s">
        <v>35</v>
      </c>
      <c r="H34" s="5">
        <v>14</v>
      </c>
      <c r="J34" s="4" t="s">
        <v>35</v>
      </c>
      <c r="K34" s="2">
        <v>32.714285714285715</v>
      </c>
      <c r="M34" s="4" t="s">
        <v>35</v>
      </c>
      <c r="N34" s="2">
        <v>5.6</v>
      </c>
    </row>
    <row r="35" spans="1:14" x14ac:dyDescent="0.3">
      <c r="A35" s="4" t="s">
        <v>48</v>
      </c>
      <c r="B35" s="7">
        <v>67</v>
      </c>
      <c r="G35" s="4" t="s">
        <v>5</v>
      </c>
      <c r="H35" s="5">
        <v>479</v>
      </c>
      <c r="J35" s="4" t="s">
        <v>5</v>
      </c>
      <c r="K35" s="2">
        <v>34.90187891440501</v>
      </c>
      <c r="M35" s="4" t="s">
        <v>5</v>
      </c>
      <c r="N35" s="2">
        <v>5.3034482758620687</v>
      </c>
    </row>
    <row r="36" spans="1:14" x14ac:dyDescent="0.3">
      <c r="A36" s="4" t="s">
        <v>49</v>
      </c>
      <c r="B36" s="7">
        <v>64</v>
      </c>
    </row>
    <row r="37" spans="1:14" x14ac:dyDescent="0.3">
      <c r="A37" s="4" t="s">
        <v>50</v>
      </c>
      <c r="B37" s="7">
        <v>60</v>
      </c>
    </row>
    <row r="38" spans="1:14" x14ac:dyDescent="0.3">
      <c r="A38" s="4" t="s">
        <v>51</v>
      </c>
      <c r="B38" s="7">
        <v>42</v>
      </c>
    </row>
    <row r="39" spans="1:14" x14ac:dyDescent="0.3">
      <c r="A39" s="4" t="s">
        <v>52</v>
      </c>
      <c r="B39" s="7">
        <v>53</v>
      </c>
    </row>
    <row r="40" spans="1:14" x14ac:dyDescent="0.3">
      <c r="A40" s="4" t="s">
        <v>53</v>
      </c>
      <c r="B40" s="7">
        <v>71</v>
      </c>
    </row>
    <row r="41" spans="1:14" x14ac:dyDescent="0.3">
      <c r="A41" s="4" t="s">
        <v>54</v>
      </c>
      <c r="B41" s="7">
        <v>52</v>
      </c>
    </row>
    <row r="42" spans="1:14" x14ac:dyDescent="0.3">
      <c r="A42" s="4" t="s">
        <v>5</v>
      </c>
      <c r="B42" s="7">
        <v>479</v>
      </c>
    </row>
    <row r="43" spans="1:14" x14ac:dyDescent="0.3">
      <c r="A43" s="4"/>
      <c r="B43" s="7"/>
    </row>
    <row r="44" spans="1:14" x14ac:dyDescent="0.3">
      <c r="A44" s="4" t="s">
        <v>59</v>
      </c>
    </row>
    <row r="45" spans="1:14" x14ac:dyDescent="0.3">
      <c r="A45" s="1" t="s">
        <v>4</v>
      </c>
      <c r="B45" t="s">
        <v>39</v>
      </c>
    </row>
    <row r="46" spans="1:14" x14ac:dyDescent="0.3">
      <c r="A46" s="4" t="s">
        <v>58</v>
      </c>
      <c r="B46" s="7">
        <v>273</v>
      </c>
    </row>
    <row r="47" spans="1:14" x14ac:dyDescent="0.3">
      <c r="A47" s="4" t="s">
        <v>57</v>
      </c>
      <c r="B47" s="7">
        <v>206</v>
      </c>
    </row>
    <row r="48" spans="1:14" x14ac:dyDescent="0.3">
      <c r="A48" s="4" t="s">
        <v>5</v>
      </c>
      <c r="B48" s="7">
        <v>479</v>
      </c>
    </row>
    <row r="50" spans="1:2" x14ac:dyDescent="0.3">
      <c r="A50" s="4" t="s">
        <v>63</v>
      </c>
    </row>
    <row r="51" spans="1:2" x14ac:dyDescent="0.3">
      <c r="A51" s="1" t="s">
        <v>4</v>
      </c>
      <c r="B51" t="s">
        <v>62</v>
      </c>
    </row>
    <row r="52" spans="1:2" x14ac:dyDescent="0.3">
      <c r="A52" s="4" t="s">
        <v>60</v>
      </c>
      <c r="B52" s="7">
        <v>235</v>
      </c>
    </row>
    <row r="53" spans="1:2" x14ac:dyDescent="0.3">
      <c r="A53" s="4" t="s">
        <v>61</v>
      </c>
      <c r="B53" s="7">
        <v>244</v>
      </c>
    </row>
    <row r="54" spans="1:2" x14ac:dyDescent="0.3">
      <c r="A54" s="4" t="s">
        <v>5</v>
      </c>
      <c r="B54" s="7">
        <v>479</v>
      </c>
    </row>
    <row r="58" spans="1:2" x14ac:dyDescent="0.3">
      <c r="A58" s="1" t="s">
        <v>4</v>
      </c>
      <c r="B58" t="s">
        <v>72</v>
      </c>
    </row>
    <row r="59" spans="1:2" x14ac:dyDescent="0.3">
      <c r="A59" s="4" t="s">
        <v>71</v>
      </c>
      <c r="B59" s="7">
        <v>4</v>
      </c>
    </row>
    <row r="60" spans="1:2" x14ac:dyDescent="0.3">
      <c r="A60" s="4" t="s">
        <v>67</v>
      </c>
      <c r="B60" s="7">
        <v>11</v>
      </c>
    </row>
    <row r="61" spans="1:2" x14ac:dyDescent="0.3">
      <c r="A61" s="4" t="s">
        <v>70</v>
      </c>
      <c r="B61" s="7">
        <v>11</v>
      </c>
    </row>
    <row r="62" spans="1:2" x14ac:dyDescent="0.3">
      <c r="A62" s="4" t="s">
        <v>65</v>
      </c>
      <c r="B62" s="7">
        <v>12</v>
      </c>
    </row>
    <row r="63" spans="1:2" x14ac:dyDescent="0.3">
      <c r="A63" s="4" t="s">
        <v>64</v>
      </c>
      <c r="B63" s="7">
        <v>18</v>
      </c>
    </row>
    <row r="64" spans="1:2" x14ac:dyDescent="0.3">
      <c r="A64" s="4" t="s">
        <v>69</v>
      </c>
      <c r="B64" s="7">
        <v>45</v>
      </c>
    </row>
    <row r="65" spans="1:2" x14ac:dyDescent="0.3">
      <c r="A65" s="4" t="s">
        <v>66</v>
      </c>
      <c r="B65" s="7">
        <v>115</v>
      </c>
    </row>
    <row r="66" spans="1:2" x14ac:dyDescent="0.3">
      <c r="A66" s="4" t="s">
        <v>68</v>
      </c>
      <c r="B66" s="7">
        <v>263</v>
      </c>
    </row>
    <row r="67" spans="1:2" x14ac:dyDescent="0.3">
      <c r="A67" s="4" t="s">
        <v>5</v>
      </c>
      <c r="B67" s="7">
        <v>479</v>
      </c>
    </row>
    <row r="69" spans="1:2" x14ac:dyDescent="0.3">
      <c r="A69" s="1" t="s">
        <v>4</v>
      </c>
    </row>
    <row r="70" spans="1:2" x14ac:dyDescent="0.3">
      <c r="A70" s="4" t="s">
        <v>73</v>
      </c>
    </row>
    <row r="71" spans="1:2" x14ac:dyDescent="0.3">
      <c r="A71" s="4" t="s">
        <v>5</v>
      </c>
    </row>
  </sheetData>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E631F-12F2-4EBB-A04B-73612C4E4E28}">
  <dimension ref="A1:M15"/>
  <sheetViews>
    <sheetView tabSelected="1" zoomScale="160" zoomScaleNormal="160" workbookViewId="0">
      <selection activeCell="M12" sqref="M12"/>
    </sheetView>
  </sheetViews>
  <sheetFormatPr defaultRowHeight="14.4" x14ac:dyDescent="0.3"/>
  <sheetData>
    <row r="1" spans="1:13" x14ac:dyDescent="0.3">
      <c r="A1" s="3"/>
      <c r="B1" s="3"/>
      <c r="C1" s="3"/>
      <c r="D1" s="3"/>
      <c r="E1" s="3"/>
      <c r="F1" s="3"/>
      <c r="G1" s="3"/>
      <c r="H1" s="3"/>
      <c r="I1" s="3"/>
      <c r="J1" s="3"/>
      <c r="K1" s="3"/>
      <c r="L1" s="3"/>
      <c r="M1" s="3"/>
    </row>
    <row r="2" spans="1:13" x14ac:dyDescent="0.3">
      <c r="A2" s="3"/>
      <c r="B2" s="3"/>
      <c r="C2" s="3"/>
      <c r="D2" s="3"/>
      <c r="E2" s="3"/>
      <c r="F2" s="3"/>
      <c r="G2" s="3"/>
      <c r="H2" s="3"/>
      <c r="I2" s="3"/>
      <c r="J2" s="3"/>
      <c r="K2" s="3"/>
      <c r="L2" s="3"/>
      <c r="M2" s="3"/>
    </row>
    <row r="3" spans="1:13" x14ac:dyDescent="0.3">
      <c r="A3" s="3"/>
      <c r="B3" s="3"/>
      <c r="C3" s="3"/>
      <c r="D3" s="3"/>
      <c r="E3" s="3"/>
      <c r="F3" s="3"/>
      <c r="G3" s="3"/>
      <c r="H3" s="3"/>
      <c r="I3" s="3"/>
      <c r="J3" s="3"/>
      <c r="K3" s="3"/>
      <c r="L3" s="3"/>
      <c r="M3" s="3"/>
    </row>
    <row r="4" spans="1:13" x14ac:dyDescent="0.3">
      <c r="A4" s="3"/>
      <c r="B4" s="3"/>
      <c r="C4" s="3"/>
      <c r="D4" s="3"/>
      <c r="E4" s="3"/>
      <c r="F4" s="3"/>
      <c r="G4" s="3"/>
      <c r="H4" s="3"/>
      <c r="I4" s="3"/>
      <c r="J4" s="3"/>
      <c r="K4" s="3"/>
      <c r="L4" s="3"/>
      <c r="M4" s="3"/>
    </row>
    <row r="5" spans="1:13" x14ac:dyDescent="0.3">
      <c r="A5" s="3"/>
      <c r="B5" s="3"/>
      <c r="C5" s="3"/>
      <c r="D5" s="3"/>
      <c r="E5" s="3"/>
      <c r="F5" s="3"/>
      <c r="G5" s="3"/>
      <c r="H5" s="3"/>
      <c r="I5" s="3"/>
      <c r="J5" s="3"/>
      <c r="K5" s="3"/>
      <c r="L5" s="3"/>
      <c r="M5" s="3"/>
    </row>
    <row r="6" spans="1:13" x14ac:dyDescent="0.3">
      <c r="A6" s="3"/>
      <c r="B6" s="3"/>
      <c r="C6" s="3"/>
      <c r="D6" s="3"/>
      <c r="E6" s="3"/>
      <c r="F6" s="3"/>
      <c r="G6" s="3"/>
      <c r="H6" s="3"/>
      <c r="I6" s="3"/>
      <c r="J6" s="3"/>
      <c r="K6" s="3"/>
      <c r="L6" s="3"/>
      <c r="M6" s="3"/>
    </row>
    <row r="7" spans="1:13" x14ac:dyDescent="0.3">
      <c r="A7" s="3"/>
      <c r="B7" s="3"/>
      <c r="C7" s="3"/>
      <c r="D7" s="3"/>
      <c r="E7" s="3"/>
      <c r="F7" s="3"/>
      <c r="G7" s="3"/>
      <c r="H7" s="3"/>
      <c r="I7" s="3"/>
      <c r="J7" s="3"/>
      <c r="K7" s="3"/>
      <c r="L7" s="3"/>
      <c r="M7" s="3"/>
    </row>
    <row r="8" spans="1:13" x14ac:dyDescent="0.3">
      <c r="A8" s="3"/>
      <c r="B8" s="3"/>
      <c r="C8" s="3"/>
      <c r="D8" s="3"/>
      <c r="E8" s="3"/>
      <c r="F8" s="3"/>
      <c r="G8" s="3"/>
      <c r="H8" s="3"/>
      <c r="I8" s="3"/>
      <c r="J8" s="3"/>
      <c r="K8" s="3"/>
      <c r="L8" s="3"/>
      <c r="M8" s="3"/>
    </row>
    <row r="9" spans="1:13" x14ac:dyDescent="0.3">
      <c r="A9" s="3"/>
      <c r="B9" s="3"/>
      <c r="C9" s="3"/>
      <c r="D9" s="3"/>
      <c r="E9" s="3"/>
      <c r="F9" s="3"/>
      <c r="G9" s="3"/>
      <c r="H9" s="3"/>
      <c r="I9" s="3"/>
      <c r="J9" s="3"/>
      <c r="K9" s="3"/>
      <c r="L9" s="3"/>
      <c r="M9" s="3"/>
    </row>
    <row r="10" spans="1:13" x14ac:dyDescent="0.3">
      <c r="A10" s="3"/>
      <c r="B10" s="3"/>
      <c r="C10" s="3"/>
      <c r="D10" s="3"/>
      <c r="E10" s="3"/>
      <c r="F10" s="3"/>
      <c r="G10" s="3"/>
      <c r="H10" s="3"/>
      <c r="I10" s="3"/>
      <c r="J10" s="3"/>
      <c r="K10" s="3"/>
      <c r="L10" s="3"/>
      <c r="M10" s="3"/>
    </row>
    <row r="11" spans="1:13" x14ac:dyDescent="0.3">
      <c r="A11" s="3"/>
      <c r="B11" s="3"/>
      <c r="C11" s="3"/>
      <c r="D11" s="3"/>
      <c r="E11" s="3"/>
      <c r="F11" s="3"/>
      <c r="G11" s="3"/>
      <c r="H11" s="3"/>
      <c r="I11" s="3"/>
      <c r="J11" s="3"/>
      <c r="K11" s="3"/>
      <c r="L11" s="3"/>
      <c r="M11" s="3"/>
    </row>
    <row r="12" spans="1:13" x14ac:dyDescent="0.3">
      <c r="A12" s="3"/>
      <c r="B12" s="3"/>
      <c r="C12" s="3"/>
      <c r="D12" s="3"/>
      <c r="E12" s="3"/>
      <c r="F12" s="3"/>
      <c r="G12" s="3"/>
      <c r="H12" s="3"/>
      <c r="I12" s="3"/>
      <c r="J12" s="3"/>
      <c r="K12" s="3"/>
      <c r="L12" s="3"/>
      <c r="M12" s="3"/>
    </row>
    <row r="13" spans="1:13" x14ac:dyDescent="0.3">
      <c r="A13" s="3"/>
      <c r="B13" s="3"/>
      <c r="C13" s="3"/>
      <c r="D13" s="3"/>
      <c r="E13" s="3"/>
      <c r="F13" s="3"/>
      <c r="G13" s="3"/>
      <c r="H13" s="3"/>
      <c r="I13" s="3"/>
      <c r="J13" s="3"/>
      <c r="K13" s="3"/>
      <c r="L13" s="3"/>
      <c r="M13" s="3"/>
    </row>
    <row r="14" spans="1:13" x14ac:dyDescent="0.3">
      <c r="A14" s="3"/>
      <c r="B14" s="3"/>
      <c r="C14" s="3"/>
      <c r="D14" s="3"/>
      <c r="E14" s="3"/>
      <c r="F14" s="3"/>
      <c r="G14" s="3"/>
      <c r="H14" s="3"/>
      <c r="I14" s="3"/>
      <c r="J14" s="3"/>
      <c r="K14" s="3"/>
      <c r="L14" s="3"/>
      <c r="M14" s="3"/>
    </row>
    <row r="15" spans="1:13" x14ac:dyDescent="0.3">
      <c r="A15" s="3"/>
      <c r="B15" s="3"/>
      <c r="C15" s="3"/>
      <c r="D15" s="3"/>
      <c r="E15" s="3"/>
      <c r="F15" s="3"/>
      <c r="G15" s="3"/>
      <c r="H15" s="3"/>
      <c r="I15" s="3"/>
      <c r="J15" s="3"/>
      <c r="K15" s="3"/>
      <c r="L15" s="3"/>
      <c r="M15" s="3"/>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C7DE1-A880-4462-9D9C-251468040E5B}">
  <dimension ref="A1:W26"/>
  <sheetViews>
    <sheetView workbookViewId="0">
      <selection activeCell="C7" sqref="C7"/>
    </sheetView>
  </sheetViews>
  <sheetFormatPr defaultRowHeight="14.4" x14ac:dyDescent="0.3"/>
  <sheetData>
    <row r="1" spans="1:23" x14ac:dyDescent="0.3">
      <c r="A1" s="6"/>
      <c r="B1" s="6"/>
      <c r="C1" s="6"/>
      <c r="D1" s="6"/>
      <c r="E1" s="6"/>
      <c r="F1" s="6"/>
      <c r="G1" s="6"/>
      <c r="H1" s="6"/>
      <c r="I1" s="6"/>
      <c r="J1" s="6"/>
      <c r="K1" s="6"/>
      <c r="L1" s="6"/>
      <c r="M1" s="6"/>
      <c r="N1" s="6"/>
      <c r="O1" s="6"/>
      <c r="P1" s="6"/>
      <c r="Q1" s="6"/>
      <c r="R1" s="6"/>
      <c r="S1" s="6"/>
      <c r="T1" s="6"/>
      <c r="U1" s="6"/>
      <c r="V1" s="6"/>
      <c r="W1" s="6"/>
    </row>
    <row r="2" spans="1:23" x14ac:dyDescent="0.3">
      <c r="A2" s="6"/>
      <c r="B2" s="6"/>
      <c r="C2" s="6"/>
      <c r="D2" s="6"/>
      <c r="E2" s="6"/>
      <c r="F2" s="6"/>
      <c r="G2" s="6"/>
      <c r="H2" s="6"/>
      <c r="I2" s="6"/>
      <c r="J2" s="6"/>
      <c r="K2" s="6"/>
      <c r="L2" s="6"/>
      <c r="M2" s="6"/>
      <c r="N2" s="6"/>
      <c r="O2" s="6"/>
      <c r="P2" s="6"/>
      <c r="Q2" s="6"/>
      <c r="R2" s="6"/>
      <c r="S2" s="6"/>
      <c r="T2" s="6"/>
      <c r="U2" s="6"/>
      <c r="V2" s="6"/>
      <c r="W2" s="6"/>
    </row>
    <row r="3" spans="1:23" x14ac:dyDescent="0.3">
      <c r="A3" s="6"/>
      <c r="B3" s="6"/>
      <c r="C3" s="6"/>
      <c r="D3" s="6"/>
      <c r="E3" s="6"/>
      <c r="F3" s="6"/>
      <c r="G3" s="6"/>
      <c r="H3" s="6"/>
      <c r="I3" s="6"/>
      <c r="J3" s="6"/>
      <c r="K3" s="6"/>
      <c r="L3" s="6"/>
      <c r="M3" s="6"/>
      <c r="N3" s="6"/>
      <c r="O3" s="6"/>
      <c r="P3" s="6"/>
      <c r="Q3" s="6"/>
      <c r="R3" s="6"/>
      <c r="S3" s="6"/>
      <c r="T3" s="6"/>
      <c r="U3" s="6"/>
      <c r="V3" s="6"/>
      <c r="W3" s="6"/>
    </row>
    <row r="4" spans="1:23" x14ac:dyDescent="0.3">
      <c r="A4" s="6"/>
      <c r="B4" s="6"/>
      <c r="C4" s="6"/>
      <c r="D4" s="6"/>
      <c r="E4" s="6"/>
      <c r="F4" s="6"/>
      <c r="G4" s="6"/>
      <c r="H4" s="6"/>
      <c r="I4" s="6"/>
      <c r="J4" s="6"/>
      <c r="K4" s="6"/>
      <c r="L4" s="6"/>
      <c r="M4" s="6"/>
      <c r="N4" s="6"/>
      <c r="O4" s="6"/>
      <c r="P4" s="6"/>
      <c r="Q4" s="6"/>
      <c r="R4" s="6"/>
      <c r="S4" s="6"/>
      <c r="T4" s="6"/>
      <c r="U4" s="6"/>
      <c r="V4" s="6"/>
      <c r="W4" s="6"/>
    </row>
    <row r="5" spans="1:23" x14ac:dyDescent="0.3">
      <c r="A5" s="6"/>
      <c r="B5" s="6"/>
      <c r="C5" s="6"/>
      <c r="D5" s="6"/>
      <c r="E5" s="6"/>
      <c r="F5" s="6"/>
      <c r="G5" s="6"/>
      <c r="H5" s="6"/>
      <c r="I5" s="6"/>
      <c r="J5" s="6"/>
      <c r="K5" s="6"/>
      <c r="L5" s="6"/>
      <c r="M5" s="6"/>
      <c r="N5" s="6"/>
      <c r="O5" s="6"/>
      <c r="P5" s="6"/>
      <c r="Q5" s="6"/>
      <c r="R5" s="6"/>
      <c r="S5" s="6"/>
      <c r="T5" s="6"/>
      <c r="U5" s="6"/>
      <c r="V5" s="6"/>
      <c r="W5" s="6"/>
    </row>
    <row r="6" spans="1:23" x14ac:dyDescent="0.3">
      <c r="A6" s="6"/>
      <c r="B6" s="6"/>
      <c r="C6" s="6"/>
      <c r="D6" s="6"/>
      <c r="E6" s="6"/>
      <c r="F6" s="6"/>
      <c r="G6" s="6"/>
      <c r="H6" s="6"/>
      <c r="I6" s="6"/>
      <c r="J6" s="6"/>
      <c r="K6" s="6"/>
      <c r="L6" s="6"/>
      <c r="M6" s="6"/>
      <c r="N6" s="6"/>
      <c r="O6" s="6"/>
      <c r="P6" s="6"/>
      <c r="Q6" s="6"/>
      <c r="R6" s="6"/>
      <c r="S6" s="6"/>
      <c r="T6" s="6"/>
      <c r="U6" s="6"/>
      <c r="V6" s="6"/>
      <c r="W6" s="6"/>
    </row>
    <row r="7" spans="1:23" x14ac:dyDescent="0.3">
      <c r="A7" s="6"/>
      <c r="B7" s="6"/>
      <c r="C7" s="6"/>
      <c r="D7" s="6"/>
      <c r="E7" s="6"/>
      <c r="F7" s="6"/>
      <c r="G7" s="6"/>
      <c r="H7" s="6"/>
      <c r="I7" s="6"/>
      <c r="J7" s="6"/>
      <c r="K7" s="6"/>
      <c r="L7" s="6"/>
      <c r="M7" s="6"/>
      <c r="N7" s="6"/>
      <c r="O7" s="6"/>
      <c r="P7" s="6"/>
      <c r="Q7" s="6"/>
      <c r="R7" s="6"/>
      <c r="S7" s="6"/>
      <c r="T7" s="6"/>
      <c r="U7" s="6"/>
      <c r="V7" s="6"/>
      <c r="W7" s="6"/>
    </row>
    <row r="8" spans="1:23" x14ac:dyDescent="0.3">
      <c r="A8" s="6"/>
      <c r="B8" s="6"/>
      <c r="C8" s="6"/>
      <c r="D8" s="6"/>
      <c r="E8" s="6"/>
      <c r="F8" s="6"/>
      <c r="G8" s="6"/>
      <c r="H8" s="6"/>
      <c r="I8" s="6"/>
      <c r="J8" s="6"/>
      <c r="K8" s="6"/>
      <c r="L8" s="6"/>
      <c r="M8" s="6"/>
      <c r="N8" s="6"/>
      <c r="O8" s="6"/>
      <c r="P8" s="6"/>
      <c r="Q8" s="6"/>
      <c r="R8" s="6"/>
      <c r="S8" s="6"/>
      <c r="T8" s="6"/>
      <c r="U8" s="6"/>
      <c r="V8" s="6"/>
      <c r="W8" s="6"/>
    </row>
    <row r="9" spans="1:23" x14ac:dyDescent="0.3">
      <c r="A9" s="6"/>
      <c r="B9" s="6"/>
      <c r="C9" s="6"/>
      <c r="D9" s="6"/>
      <c r="E9" s="6"/>
      <c r="F9" s="6"/>
      <c r="G9" s="6"/>
      <c r="H9" s="6"/>
      <c r="I9" s="6"/>
      <c r="J9" s="6"/>
      <c r="K9" s="6"/>
      <c r="L9" s="6"/>
      <c r="M9" s="6"/>
      <c r="N9" s="6"/>
      <c r="O9" s="6"/>
      <c r="P9" s="6"/>
      <c r="Q9" s="6"/>
      <c r="R9" s="6"/>
      <c r="S9" s="6"/>
      <c r="T9" s="6"/>
      <c r="U9" s="6"/>
      <c r="V9" s="6"/>
      <c r="W9" s="6"/>
    </row>
    <row r="10" spans="1:23" x14ac:dyDescent="0.3">
      <c r="A10" s="6"/>
      <c r="B10" s="6"/>
      <c r="C10" s="6"/>
      <c r="D10" s="6"/>
      <c r="E10" s="6"/>
      <c r="F10" s="6"/>
      <c r="G10" s="6"/>
      <c r="H10" s="6"/>
      <c r="I10" s="6"/>
      <c r="J10" s="6"/>
      <c r="K10" s="6"/>
      <c r="L10" s="6"/>
      <c r="M10" s="6"/>
      <c r="N10" s="6"/>
      <c r="O10" s="6"/>
      <c r="P10" s="6"/>
      <c r="Q10" s="6"/>
      <c r="R10" s="6"/>
      <c r="S10" s="6"/>
      <c r="T10" s="6"/>
      <c r="U10" s="6"/>
      <c r="V10" s="6"/>
      <c r="W10" s="6"/>
    </row>
    <row r="11" spans="1:23" x14ac:dyDescent="0.3">
      <c r="A11" s="6"/>
      <c r="B11" s="6"/>
      <c r="C11" s="6"/>
      <c r="D11" s="6"/>
      <c r="E11" s="6"/>
      <c r="F11" s="6"/>
      <c r="G11" s="6"/>
      <c r="H11" s="6"/>
      <c r="I11" s="6"/>
      <c r="J11" s="6"/>
      <c r="K11" s="6"/>
      <c r="L11" s="6"/>
      <c r="M11" s="6"/>
      <c r="N11" s="6"/>
      <c r="O11" s="6"/>
      <c r="P11" s="6"/>
      <c r="Q11" s="6"/>
      <c r="R11" s="6"/>
      <c r="S11" s="6"/>
      <c r="T11" s="6"/>
      <c r="U11" s="6"/>
      <c r="V11" s="6"/>
      <c r="W11" s="6"/>
    </row>
    <row r="12" spans="1:23" x14ac:dyDescent="0.3">
      <c r="A12" s="6"/>
      <c r="B12" s="6"/>
      <c r="C12" s="6"/>
      <c r="D12" s="6"/>
      <c r="E12" s="6"/>
      <c r="F12" s="6"/>
      <c r="G12" s="6"/>
      <c r="H12" s="6"/>
      <c r="I12" s="6"/>
      <c r="J12" s="6"/>
      <c r="K12" s="6"/>
      <c r="L12" s="6"/>
      <c r="M12" s="6"/>
      <c r="N12" s="6"/>
      <c r="O12" s="6"/>
      <c r="P12" s="6"/>
      <c r="Q12" s="6"/>
      <c r="R12" s="6"/>
      <c r="S12" s="6"/>
      <c r="T12" s="6"/>
      <c r="U12" s="6"/>
      <c r="V12" s="6"/>
      <c r="W12" s="6"/>
    </row>
    <row r="13" spans="1:23" x14ac:dyDescent="0.3">
      <c r="A13" s="6"/>
      <c r="B13" s="6"/>
      <c r="C13" s="6"/>
      <c r="D13" s="6"/>
      <c r="E13" s="6"/>
      <c r="F13" s="6"/>
      <c r="G13" s="6"/>
      <c r="H13" s="6"/>
      <c r="I13" s="6"/>
      <c r="J13" s="6"/>
      <c r="K13" s="6"/>
      <c r="L13" s="6"/>
      <c r="M13" s="6"/>
      <c r="N13" s="6"/>
      <c r="O13" s="6"/>
      <c r="P13" s="6"/>
      <c r="Q13" s="6"/>
      <c r="R13" s="6"/>
      <c r="S13" s="6"/>
      <c r="T13" s="6"/>
      <c r="U13" s="6"/>
      <c r="V13" s="6"/>
      <c r="W13" s="6"/>
    </row>
    <row r="14" spans="1:23" x14ac:dyDescent="0.3">
      <c r="A14" s="6"/>
      <c r="B14" s="6"/>
      <c r="C14" s="6"/>
      <c r="D14" s="6"/>
      <c r="E14" s="6"/>
      <c r="F14" s="6"/>
      <c r="G14" s="6"/>
      <c r="H14" s="6"/>
      <c r="I14" s="6"/>
      <c r="J14" s="6"/>
      <c r="K14" s="6"/>
      <c r="L14" s="6"/>
      <c r="M14" s="6"/>
      <c r="N14" s="6"/>
      <c r="O14" s="6"/>
      <c r="P14" s="6"/>
      <c r="Q14" s="6"/>
      <c r="R14" s="6"/>
      <c r="S14" s="6"/>
      <c r="T14" s="6"/>
      <c r="U14" s="6"/>
      <c r="V14" s="6"/>
      <c r="W14" s="6"/>
    </row>
    <row r="15" spans="1:23" x14ac:dyDescent="0.3">
      <c r="A15" s="6"/>
      <c r="B15" s="6"/>
      <c r="C15" s="6"/>
      <c r="D15" s="6"/>
      <c r="E15" s="6"/>
      <c r="F15" s="6"/>
      <c r="G15" s="6"/>
      <c r="H15" s="6"/>
      <c r="I15" s="6"/>
      <c r="J15" s="6"/>
      <c r="K15" s="6"/>
      <c r="L15" s="6"/>
      <c r="M15" s="6"/>
      <c r="N15" s="6"/>
      <c r="O15" s="6"/>
      <c r="P15" s="6"/>
      <c r="Q15" s="6"/>
      <c r="R15" s="6"/>
      <c r="S15" s="6"/>
      <c r="T15" s="6"/>
      <c r="U15" s="6"/>
      <c r="V15" s="6"/>
      <c r="W15" s="6"/>
    </row>
    <row r="16" spans="1:23" x14ac:dyDescent="0.3">
      <c r="A16" s="6"/>
      <c r="B16" s="6"/>
      <c r="C16" s="6"/>
      <c r="D16" s="6"/>
      <c r="E16" s="6"/>
      <c r="F16" s="6"/>
      <c r="G16" s="6"/>
      <c r="H16" s="6"/>
      <c r="I16" s="6"/>
      <c r="J16" s="6"/>
      <c r="K16" s="6"/>
      <c r="L16" s="6"/>
      <c r="M16" s="6"/>
      <c r="N16" s="6"/>
      <c r="O16" s="6"/>
      <c r="P16" s="6"/>
      <c r="Q16" s="6"/>
      <c r="R16" s="6"/>
      <c r="S16" s="6"/>
      <c r="T16" s="6"/>
      <c r="U16" s="6"/>
      <c r="V16" s="6"/>
      <c r="W16" s="6"/>
    </row>
    <row r="17" spans="1:23" x14ac:dyDescent="0.3">
      <c r="A17" s="6"/>
      <c r="B17" s="6"/>
      <c r="C17" s="6"/>
      <c r="D17" s="6"/>
      <c r="E17" s="6"/>
      <c r="F17" s="6"/>
      <c r="G17" s="6"/>
      <c r="H17" s="6"/>
      <c r="I17" s="6"/>
      <c r="J17" s="6"/>
      <c r="K17" s="6"/>
      <c r="L17" s="6"/>
      <c r="M17" s="6"/>
      <c r="N17" s="6"/>
      <c r="O17" s="6"/>
      <c r="P17" s="6"/>
      <c r="Q17" s="6"/>
      <c r="R17" s="6"/>
      <c r="S17" s="6"/>
      <c r="T17" s="6"/>
      <c r="U17" s="6"/>
      <c r="V17" s="6"/>
      <c r="W17" s="6"/>
    </row>
    <row r="18" spans="1:23" x14ac:dyDescent="0.3">
      <c r="A18" s="6"/>
      <c r="B18" s="6"/>
      <c r="C18" s="6"/>
      <c r="D18" s="6"/>
      <c r="E18" s="6"/>
      <c r="F18" s="6"/>
      <c r="G18" s="6"/>
      <c r="H18" s="6"/>
      <c r="I18" s="6"/>
      <c r="J18" s="6"/>
      <c r="K18" s="6"/>
      <c r="L18" s="6"/>
      <c r="M18" s="6"/>
      <c r="N18" s="6"/>
      <c r="O18" s="6"/>
      <c r="P18" s="6"/>
      <c r="Q18" s="6"/>
      <c r="R18" s="6"/>
      <c r="S18" s="6"/>
      <c r="T18" s="6"/>
      <c r="U18" s="6"/>
      <c r="V18" s="6"/>
      <c r="W18" s="6"/>
    </row>
    <row r="19" spans="1:23" x14ac:dyDescent="0.3">
      <c r="A19" s="6"/>
      <c r="B19" s="6"/>
      <c r="C19" s="6"/>
      <c r="D19" s="6"/>
      <c r="E19" s="6"/>
      <c r="F19" s="6"/>
      <c r="G19" s="6"/>
      <c r="H19" s="6"/>
      <c r="I19" s="6"/>
      <c r="J19" s="6"/>
      <c r="K19" s="6"/>
      <c r="L19" s="6"/>
      <c r="M19" s="6"/>
      <c r="N19" s="6"/>
      <c r="O19" s="6"/>
      <c r="P19" s="6"/>
      <c r="Q19" s="6"/>
      <c r="R19" s="6"/>
      <c r="S19" s="6"/>
      <c r="T19" s="6"/>
      <c r="U19" s="6"/>
      <c r="V19" s="6"/>
      <c r="W19" s="6"/>
    </row>
    <row r="20" spans="1:23" x14ac:dyDescent="0.3">
      <c r="A20" s="6"/>
      <c r="B20" s="6"/>
      <c r="C20" s="6"/>
      <c r="D20" s="6"/>
      <c r="E20" s="6"/>
      <c r="F20" s="6"/>
      <c r="G20" s="6"/>
      <c r="H20" s="6"/>
      <c r="I20" s="6"/>
      <c r="J20" s="6"/>
      <c r="K20" s="6"/>
      <c r="L20" s="6"/>
      <c r="M20" s="6"/>
      <c r="N20" s="6"/>
      <c r="O20" s="6"/>
      <c r="P20" s="6"/>
      <c r="Q20" s="6"/>
      <c r="R20" s="6"/>
      <c r="S20" s="6"/>
      <c r="T20" s="6"/>
      <c r="U20" s="6"/>
      <c r="V20" s="6"/>
      <c r="W20" s="6"/>
    </row>
    <row r="21" spans="1:23" x14ac:dyDescent="0.3">
      <c r="A21" s="6"/>
      <c r="B21" s="6"/>
      <c r="C21" s="6"/>
      <c r="D21" s="6"/>
      <c r="E21" s="6"/>
      <c r="F21" s="6"/>
      <c r="G21" s="6"/>
      <c r="H21" s="6"/>
      <c r="I21" s="6"/>
      <c r="J21" s="6"/>
      <c r="K21" s="6"/>
      <c r="L21" s="6"/>
      <c r="M21" s="6"/>
      <c r="N21" s="6"/>
      <c r="O21" s="6"/>
      <c r="P21" s="6"/>
      <c r="Q21" s="6"/>
      <c r="R21" s="6"/>
      <c r="S21" s="6"/>
      <c r="T21" s="6"/>
      <c r="U21" s="6"/>
      <c r="V21" s="6"/>
      <c r="W21" s="6"/>
    </row>
    <row r="22" spans="1:23" x14ac:dyDescent="0.3">
      <c r="A22" s="6"/>
      <c r="B22" s="6"/>
      <c r="C22" s="6"/>
      <c r="D22" s="6"/>
      <c r="E22" s="6"/>
      <c r="F22" s="6"/>
      <c r="G22" s="6"/>
      <c r="H22" s="6"/>
      <c r="I22" s="6"/>
      <c r="J22" s="6"/>
      <c r="K22" s="6"/>
      <c r="L22" s="6"/>
      <c r="M22" s="6"/>
      <c r="N22" s="6"/>
      <c r="O22" s="6"/>
      <c r="P22" s="6"/>
      <c r="Q22" s="6"/>
      <c r="R22" s="6"/>
      <c r="S22" s="6"/>
      <c r="T22" s="6"/>
      <c r="U22" s="6"/>
      <c r="V22" s="6"/>
      <c r="W22" s="6"/>
    </row>
    <row r="23" spans="1:23" x14ac:dyDescent="0.3">
      <c r="A23" s="6"/>
      <c r="B23" s="6"/>
      <c r="C23" s="6"/>
      <c r="D23" s="6"/>
      <c r="E23" s="6"/>
      <c r="F23" s="6"/>
      <c r="G23" s="6"/>
      <c r="H23" s="6"/>
      <c r="I23" s="6"/>
      <c r="J23" s="6"/>
      <c r="K23" s="6"/>
      <c r="L23" s="6"/>
      <c r="M23" s="6"/>
      <c r="N23" s="6"/>
      <c r="O23" s="6"/>
      <c r="P23" s="6"/>
      <c r="Q23" s="6"/>
      <c r="R23" s="6"/>
      <c r="S23" s="6"/>
      <c r="T23" s="6"/>
      <c r="U23" s="6"/>
      <c r="V23" s="6"/>
      <c r="W23" s="6"/>
    </row>
    <row r="24" spans="1:23" x14ac:dyDescent="0.3">
      <c r="A24" s="6"/>
      <c r="B24" s="6"/>
      <c r="C24" s="6"/>
      <c r="D24" s="6"/>
      <c r="E24" s="6"/>
      <c r="F24" s="6"/>
      <c r="G24" s="6"/>
      <c r="H24" s="6"/>
      <c r="I24" s="6"/>
      <c r="J24" s="6"/>
      <c r="K24" s="6"/>
      <c r="L24" s="6"/>
      <c r="M24" s="6"/>
      <c r="N24" s="6"/>
      <c r="O24" s="6"/>
      <c r="P24" s="6"/>
      <c r="Q24" s="6"/>
      <c r="R24" s="6"/>
      <c r="S24" s="6"/>
      <c r="T24" s="6"/>
      <c r="U24" s="6"/>
      <c r="V24" s="6"/>
      <c r="W24" s="6"/>
    </row>
    <row r="25" spans="1:23" x14ac:dyDescent="0.3">
      <c r="A25" s="6"/>
      <c r="B25" s="6"/>
      <c r="C25" s="6"/>
      <c r="D25" s="6"/>
      <c r="E25" s="6"/>
      <c r="F25" s="6"/>
      <c r="G25" s="6"/>
      <c r="H25" s="6"/>
      <c r="I25" s="6"/>
      <c r="J25" s="6"/>
      <c r="K25" s="6"/>
      <c r="L25" s="6"/>
      <c r="M25" s="6"/>
      <c r="N25" s="6"/>
      <c r="O25" s="6"/>
      <c r="P25" s="6"/>
      <c r="Q25" s="6"/>
      <c r="R25" s="6"/>
      <c r="S25" s="6"/>
      <c r="T25" s="6"/>
      <c r="U25" s="6"/>
      <c r="V25" s="6"/>
      <c r="W25" s="6"/>
    </row>
    <row r="26" spans="1:23" x14ac:dyDescent="0.3">
      <c r="A26" s="6"/>
      <c r="B26" s="6"/>
      <c r="C26" s="6"/>
      <c r="D26" s="6"/>
      <c r="E26" s="6"/>
      <c r="F26" s="6"/>
      <c r="G26" s="6"/>
      <c r="H26" s="6"/>
      <c r="I26" s="6"/>
      <c r="J26" s="6"/>
      <c r="K26" s="6"/>
      <c r="L26" s="6"/>
      <c r="M26" s="6"/>
      <c r="N26" s="6"/>
      <c r="O26" s="6"/>
      <c r="P26" s="6"/>
      <c r="Q26" s="6"/>
      <c r="R26" s="6"/>
      <c r="S26" s="6"/>
      <c r="T26" s="6"/>
      <c r="U26" s="6"/>
      <c r="V26" s="6"/>
      <c r="W26" s="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D8AB8-3838-45EB-A016-3220DAC9A0C5}">
  <dimension ref="A1:W26"/>
  <sheetViews>
    <sheetView workbookViewId="0">
      <selection activeCell="D7" sqref="D7"/>
    </sheetView>
  </sheetViews>
  <sheetFormatPr defaultRowHeight="14.4" x14ac:dyDescent="0.3"/>
  <sheetData>
    <row r="1" spans="1:23" x14ac:dyDescent="0.3">
      <c r="A1" s="6"/>
      <c r="B1" s="6"/>
      <c r="C1" s="6"/>
      <c r="D1" s="6"/>
      <c r="E1" s="6"/>
      <c r="F1" s="6"/>
      <c r="G1" s="6"/>
      <c r="H1" s="6"/>
      <c r="I1" s="6"/>
      <c r="J1" s="6"/>
      <c r="K1" s="6"/>
      <c r="L1" s="6"/>
      <c r="M1" s="6"/>
      <c r="N1" s="6"/>
      <c r="O1" s="6"/>
      <c r="P1" s="6"/>
      <c r="Q1" s="6"/>
      <c r="R1" s="6"/>
      <c r="S1" s="6"/>
      <c r="T1" s="6"/>
      <c r="U1" s="6"/>
      <c r="V1" s="6"/>
      <c r="W1" s="6"/>
    </row>
    <row r="2" spans="1:23" x14ac:dyDescent="0.3">
      <c r="A2" s="6"/>
      <c r="B2" s="6"/>
      <c r="C2" s="6"/>
      <c r="D2" s="6"/>
      <c r="E2" s="6"/>
      <c r="F2" s="6"/>
      <c r="G2" s="6"/>
      <c r="H2" s="6"/>
      <c r="I2" s="6"/>
      <c r="J2" s="6"/>
      <c r="K2" s="6"/>
      <c r="L2" s="6"/>
      <c r="M2" s="6"/>
      <c r="N2" s="6"/>
      <c r="O2" s="6"/>
      <c r="P2" s="6"/>
      <c r="Q2" s="6"/>
      <c r="R2" s="6"/>
      <c r="S2" s="6"/>
      <c r="T2" s="6"/>
      <c r="U2" s="6"/>
      <c r="V2" s="6"/>
      <c r="W2" s="6"/>
    </row>
    <row r="3" spans="1:23" x14ac:dyDescent="0.3">
      <c r="A3" s="6"/>
      <c r="B3" s="6"/>
      <c r="C3" s="6"/>
      <c r="D3" s="6"/>
      <c r="E3" s="6"/>
      <c r="F3" s="6"/>
      <c r="G3" s="6"/>
      <c r="H3" s="6"/>
      <c r="I3" s="6"/>
      <c r="J3" s="6"/>
      <c r="K3" s="6"/>
      <c r="L3" s="6"/>
      <c r="M3" s="6"/>
      <c r="N3" s="6"/>
      <c r="O3" s="6"/>
      <c r="P3" s="6"/>
      <c r="Q3" s="6"/>
      <c r="R3" s="6"/>
      <c r="S3" s="6"/>
      <c r="T3" s="6"/>
      <c r="U3" s="6"/>
      <c r="V3" s="6"/>
      <c r="W3" s="6"/>
    </row>
    <row r="4" spans="1:23" x14ac:dyDescent="0.3">
      <c r="A4" s="6"/>
      <c r="B4" s="6"/>
      <c r="C4" s="6"/>
      <c r="D4" s="6"/>
      <c r="E4" s="6"/>
      <c r="F4" s="6"/>
      <c r="G4" s="6"/>
      <c r="H4" s="6"/>
      <c r="I4" s="6"/>
      <c r="J4" s="6"/>
      <c r="K4" s="6"/>
      <c r="L4" s="6"/>
      <c r="M4" s="6"/>
      <c r="N4" s="6"/>
      <c r="O4" s="6"/>
      <c r="P4" s="6"/>
      <c r="Q4" s="6"/>
      <c r="R4" s="6"/>
      <c r="S4" s="6"/>
      <c r="T4" s="6"/>
      <c r="U4" s="6"/>
      <c r="V4" s="6"/>
      <c r="W4" s="6"/>
    </row>
    <row r="5" spans="1:23" x14ac:dyDescent="0.3">
      <c r="A5" s="6"/>
      <c r="B5" s="6"/>
      <c r="C5" s="6"/>
      <c r="D5" s="6"/>
      <c r="E5" s="6"/>
      <c r="F5" s="6"/>
      <c r="G5" s="6"/>
      <c r="H5" s="6"/>
      <c r="I5" s="6"/>
      <c r="J5" s="6"/>
      <c r="K5" s="6"/>
      <c r="L5" s="6"/>
      <c r="M5" s="6"/>
      <c r="N5" s="6"/>
      <c r="O5" s="6"/>
      <c r="P5" s="6"/>
      <c r="Q5" s="6"/>
      <c r="R5" s="6"/>
      <c r="S5" s="6"/>
      <c r="T5" s="6"/>
      <c r="U5" s="6"/>
      <c r="V5" s="6"/>
      <c r="W5" s="6"/>
    </row>
    <row r="6" spans="1:23" x14ac:dyDescent="0.3">
      <c r="A6" s="6"/>
      <c r="B6" s="6"/>
      <c r="C6" s="6"/>
      <c r="D6" s="6"/>
      <c r="E6" s="6"/>
      <c r="F6" s="6"/>
      <c r="G6" s="6"/>
      <c r="H6" s="6"/>
      <c r="I6" s="6"/>
      <c r="J6" s="6"/>
      <c r="K6" s="6"/>
      <c r="L6" s="6"/>
      <c r="M6" s="6"/>
      <c r="N6" s="6"/>
      <c r="O6" s="6"/>
      <c r="P6" s="6"/>
      <c r="Q6" s="6"/>
      <c r="R6" s="6"/>
      <c r="S6" s="6"/>
      <c r="T6" s="6"/>
      <c r="U6" s="6"/>
      <c r="V6" s="6"/>
      <c r="W6" s="6"/>
    </row>
    <row r="7" spans="1:23" x14ac:dyDescent="0.3">
      <c r="A7" s="6"/>
      <c r="B7" s="6"/>
      <c r="C7" s="6"/>
      <c r="D7" s="6"/>
      <c r="E7" s="6"/>
      <c r="F7" s="6"/>
      <c r="G7" s="6"/>
      <c r="H7" s="6"/>
      <c r="I7" s="6"/>
      <c r="J7" s="6"/>
      <c r="K7" s="6"/>
      <c r="L7" s="6"/>
      <c r="M7" s="6"/>
      <c r="N7" s="6"/>
      <c r="O7" s="6"/>
      <c r="P7" s="6"/>
      <c r="Q7" s="6"/>
      <c r="R7" s="6"/>
      <c r="S7" s="6"/>
      <c r="T7" s="6"/>
      <c r="U7" s="6"/>
      <c r="V7" s="6"/>
      <c r="W7" s="6"/>
    </row>
    <row r="8" spans="1:23" x14ac:dyDescent="0.3">
      <c r="A8" s="6"/>
      <c r="B8" s="6"/>
      <c r="C8" s="6"/>
      <c r="D8" s="6"/>
      <c r="E8" s="6"/>
      <c r="F8" s="6"/>
      <c r="G8" s="6"/>
      <c r="H8" s="6"/>
      <c r="I8" s="6"/>
      <c r="J8" s="6"/>
      <c r="K8" s="6"/>
      <c r="L8" s="6"/>
      <c r="M8" s="6"/>
      <c r="N8" s="6"/>
      <c r="O8" s="6"/>
      <c r="P8" s="6"/>
      <c r="Q8" s="6"/>
      <c r="R8" s="6"/>
      <c r="S8" s="6"/>
      <c r="T8" s="6"/>
      <c r="U8" s="6"/>
      <c r="V8" s="6"/>
      <c r="W8" s="6"/>
    </row>
    <row r="9" spans="1:23" x14ac:dyDescent="0.3">
      <c r="A9" s="6"/>
      <c r="B9" s="6"/>
      <c r="C9" s="6"/>
      <c r="D9" s="6"/>
      <c r="E9" s="6"/>
      <c r="F9" s="6"/>
      <c r="G9" s="6"/>
      <c r="H9" s="6"/>
      <c r="I9" s="6"/>
      <c r="J9" s="6"/>
      <c r="K9" s="6"/>
      <c r="L9" s="6"/>
      <c r="M9" s="6"/>
      <c r="N9" s="6"/>
      <c r="O9" s="6"/>
      <c r="P9" s="6"/>
      <c r="Q9" s="6"/>
      <c r="R9" s="6"/>
      <c r="S9" s="6"/>
      <c r="T9" s="6"/>
      <c r="U9" s="6"/>
      <c r="V9" s="6"/>
      <c r="W9" s="6"/>
    </row>
    <row r="10" spans="1:23" x14ac:dyDescent="0.3">
      <c r="A10" s="6"/>
      <c r="B10" s="6"/>
      <c r="C10" s="6"/>
      <c r="D10" s="6"/>
      <c r="E10" s="6"/>
      <c r="F10" s="6"/>
      <c r="G10" s="6"/>
      <c r="H10" s="6"/>
      <c r="I10" s="6"/>
      <c r="J10" s="6"/>
      <c r="K10" s="6"/>
      <c r="L10" s="6"/>
      <c r="M10" s="6"/>
      <c r="N10" s="6"/>
      <c r="O10" s="6"/>
      <c r="P10" s="6"/>
      <c r="Q10" s="6"/>
      <c r="R10" s="6"/>
      <c r="S10" s="6"/>
      <c r="T10" s="6"/>
      <c r="U10" s="6"/>
      <c r="V10" s="6"/>
      <c r="W10" s="6"/>
    </row>
    <row r="11" spans="1:23" x14ac:dyDescent="0.3">
      <c r="A11" s="6"/>
      <c r="B11" s="6"/>
      <c r="C11" s="6"/>
      <c r="D11" s="6"/>
      <c r="E11" s="6"/>
      <c r="F11" s="6"/>
      <c r="G11" s="6"/>
      <c r="H11" s="6"/>
      <c r="I11" s="6"/>
      <c r="J11" s="6"/>
      <c r="K11" s="6"/>
      <c r="L11" s="6"/>
      <c r="M11" s="6"/>
      <c r="N11" s="6"/>
      <c r="O11" s="6"/>
      <c r="P11" s="6"/>
      <c r="Q11" s="6"/>
      <c r="R11" s="6"/>
      <c r="S11" s="6"/>
      <c r="T11" s="6"/>
      <c r="U11" s="6"/>
      <c r="V11" s="6"/>
      <c r="W11" s="6"/>
    </row>
    <row r="12" spans="1:23" x14ac:dyDescent="0.3">
      <c r="A12" s="6"/>
      <c r="B12" s="6"/>
      <c r="C12" s="6"/>
      <c r="D12" s="6"/>
      <c r="E12" s="6"/>
      <c r="F12" s="6"/>
      <c r="G12" s="6"/>
      <c r="H12" s="6"/>
      <c r="I12" s="6"/>
      <c r="J12" s="6"/>
      <c r="K12" s="6"/>
      <c r="L12" s="6"/>
      <c r="M12" s="6"/>
      <c r="N12" s="6"/>
      <c r="O12" s="6"/>
      <c r="P12" s="6"/>
      <c r="Q12" s="6"/>
      <c r="R12" s="6"/>
      <c r="S12" s="6"/>
      <c r="T12" s="6"/>
      <c r="U12" s="6"/>
      <c r="V12" s="6"/>
      <c r="W12" s="6"/>
    </row>
    <row r="13" spans="1:23" x14ac:dyDescent="0.3">
      <c r="A13" s="6"/>
      <c r="B13" s="6"/>
      <c r="C13" s="6"/>
      <c r="D13" s="6"/>
      <c r="E13" s="6"/>
      <c r="F13" s="6"/>
      <c r="G13" s="6"/>
      <c r="H13" s="6"/>
      <c r="I13" s="6"/>
      <c r="J13" s="6"/>
      <c r="K13" s="6"/>
      <c r="L13" s="6"/>
      <c r="M13" s="6"/>
      <c r="N13" s="6"/>
      <c r="O13" s="6"/>
      <c r="P13" s="6"/>
      <c r="Q13" s="6"/>
      <c r="R13" s="6"/>
      <c r="S13" s="6"/>
      <c r="T13" s="6"/>
      <c r="U13" s="6"/>
      <c r="V13" s="6"/>
      <c r="W13" s="6"/>
    </row>
    <row r="14" spans="1:23" x14ac:dyDescent="0.3">
      <c r="A14" s="6"/>
      <c r="B14" s="6"/>
      <c r="C14" s="6"/>
      <c r="D14" s="6"/>
      <c r="E14" s="6"/>
      <c r="F14" s="6"/>
      <c r="G14" s="6"/>
      <c r="H14" s="6"/>
      <c r="I14" s="6"/>
      <c r="J14" s="6"/>
      <c r="K14" s="6"/>
      <c r="L14" s="6"/>
      <c r="M14" s="6"/>
      <c r="N14" s="6"/>
      <c r="O14" s="6"/>
      <c r="P14" s="6"/>
      <c r="Q14" s="6"/>
      <c r="R14" s="6"/>
      <c r="S14" s="6"/>
      <c r="T14" s="6"/>
      <c r="U14" s="6"/>
      <c r="V14" s="6"/>
      <c r="W14" s="6"/>
    </row>
    <row r="15" spans="1:23" x14ac:dyDescent="0.3">
      <c r="A15" s="6"/>
      <c r="B15" s="6"/>
      <c r="C15" s="6"/>
      <c r="D15" s="6"/>
      <c r="E15" s="6"/>
      <c r="F15" s="6"/>
      <c r="G15" s="6"/>
      <c r="H15" s="6"/>
      <c r="I15" s="6"/>
      <c r="J15" s="6"/>
      <c r="K15" s="6"/>
      <c r="L15" s="6"/>
      <c r="M15" s="6"/>
      <c r="N15" s="6"/>
      <c r="O15" s="6"/>
      <c r="P15" s="6"/>
      <c r="Q15" s="6"/>
      <c r="R15" s="6"/>
      <c r="S15" s="6"/>
      <c r="T15" s="6"/>
      <c r="U15" s="6"/>
      <c r="V15" s="6"/>
      <c r="W15" s="6"/>
    </row>
    <row r="16" spans="1:23" x14ac:dyDescent="0.3">
      <c r="A16" s="6"/>
      <c r="B16" s="6"/>
      <c r="C16" s="6"/>
      <c r="D16" s="6"/>
      <c r="E16" s="6"/>
      <c r="F16" s="6"/>
      <c r="G16" s="6"/>
      <c r="H16" s="6"/>
      <c r="I16" s="6"/>
      <c r="J16" s="6"/>
      <c r="K16" s="6"/>
      <c r="L16" s="6"/>
      <c r="M16" s="6"/>
      <c r="N16" s="6"/>
      <c r="O16" s="6"/>
      <c r="P16" s="6"/>
      <c r="Q16" s="6"/>
      <c r="R16" s="6"/>
      <c r="S16" s="6"/>
      <c r="T16" s="6"/>
      <c r="U16" s="6"/>
      <c r="V16" s="6"/>
      <c r="W16" s="6"/>
    </row>
    <row r="17" spans="1:23" x14ac:dyDescent="0.3">
      <c r="A17" s="6"/>
      <c r="B17" s="6"/>
      <c r="C17" s="6"/>
      <c r="D17" s="6"/>
      <c r="E17" s="6"/>
      <c r="F17" s="6"/>
      <c r="G17" s="6"/>
      <c r="H17" s="6"/>
      <c r="I17" s="6"/>
      <c r="J17" s="6"/>
      <c r="K17" s="6"/>
      <c r="L17" s="6"/>
      <c r="M17" s="6"/>
      <c r="N17" s="6"/>
      <c r="O17" s="6"/>
      <c r="P17" s="6"/>
      <c r="Q17" s="6"/>
      <c r="R17" s="6"/>
      <c r="S17" s="6"/>
      <c r="T17" s="6"/>
      <c r="U17" s="6"/>
      <c r="V17" s="6"/>
      <c r="W17" s="6"/>
    </row>
    <row r="18" spans="1:23" x14ac:dyDescent="0.3">
      <c r="A18" s="6"/>
      <c r="B18" s="6"/>
      <c r="C18" s="6"/>
      <c r="D18" s="6"/>
      <c r="E18" s="6"/>
      <c r="F18" s="6"/>
      <c r="G18" s="6"/>
      <c r="H18" s="6"/>
      <c r="I18" s="6"/>
      <c r="J18" s="6"/>
      <c r="K18" s="6"/>
      <c r="L18" s="6"/>
      <c r="M18" s="6"/>
      <c r="N18" s="6"/>
      <c r="O18" s="6"/>
      <c r="P18" s="6"/>
      <c r="Q18" s="6"/>
      <c r="R18" s="6"/>
      <c r="S18" s="6"/>
      <c r="T18" s="6"/>
      <c r="U18" s="6"/>
      <c r="V18" s="6"/>
      <c r="W18" s="6"/>
    </row>
    <row r="19" spans="1:23" x14ac:dyDescent="0.3">
      <c r="A19" s="6"/>
      <c r="B19" s="6"/>
      <c r="C19" s="6"/>
      <c r="D19" s="6"/>
      <c r="E19" s="6"/>
      <c r="F19" s="6"/>
      <c r="G19" s="6"/>
      <c r="H19" s="6"/>
      <c r="I19" s="6"/>
      <c r="J19" s="6"/>
      <c r="K19" s="6"/>
      <c r="L19" s="6"/>
      <c r="M19" s="6"/>
      <c r="N19" s="6"/>
      <c r="O19" s="6"/>
      <c r="P19" s="6"/>
      <c r="Q19" s="6"/>
      <c r="R19" s="6"/>
      <c r="S19" s="6"/>
      <c r="T19" s="6"/>
      <c r="U19" s="6"/>
      <c r="V19" s="6"/>
      <c r="W19" s="6"/>
    </row>
    <row r="20" spans="1:23" x14ac:dyDescent="0.3">
      <c r="A20" s="6"/>
      <c r="B20" s="6"/>
      <c r="C20" s="6"/>
      <c r="D20" s="6"/>
      <c r="E20" s="6"/>
      <c r="F20" s="6"/>
      <c r="G20" s="6"/>
      <c r="H20" s="6"/>
      <c r="I20" s="6"/>
      <c r="J20" s="6"/>
      <c r="K20" s="6"/>
      <c r="L20" s="6"/>
      <c r="M20" s="6"/>
      <c r="N20" s="6"/>
      <c r="O20" s="6"/>
      <c r="P20" s="6"/>
      <c r="Q20" s="6"/>
      <c r="R20" s="6"/>
      <c r="S20" s="6"/>
      <c r="T20" s="6"/>
      <c r="U20" s="6"/>
      <c r="V20" s="6"/>
      <c r="W20" s="6"/>
    </row>
    <row r="21" spans="1:23" x14ac:dyDescent="0.3">
      <c r="A21" s="6"/>
      <c r="B21" s="6"/>
      <c r="C21" s="6"/>
      <c r="D21" s="6"/>
      <c r="E21" s="6"/>
      <c r="F21" s="6"/>
      <c r="G21" s="6"/>
      <c r="H21" s="6"/>
      <c r="I21" s="6"/>
      <c r="J21" s="6"/>
      <c r="K21" s="6"/>
      <c r="L21" s="6"/>
      <c r="M21" s="6"/>
      <c r="N21" s="6"/>
      <c r="O21" s="6"/>
      <c r="P21" s="6"/>
      <c r="Q21" s="6"/>
      <c r="R21" s="6"/>
      <c r="S21" s="6"/>
      <c r="T21" s="6"/>
      <c r="U21" s="6"/>
      <c r="V21" s="6"/>
      <c r="W21" s="6"/>
    </row>
    <row r="22" spans="1:23" x14ac:dyDescent="0.3">
      <c r="A22" s="6"/>
      <c r="B22" s="6"/>
      <c r="C22" s="6"/>
      <c r="D22" s="6"/>
      <c r="E22" s="6"/>
      <c r="F22" s="6"/>
      <c r="G22" s="6"/>
      <c r="H22" s="6"/>
      <c r="I22" s="6"/>
      <c r="J22" s="6"/>
      <c r="K22" s="6"/>
      <c r="L22" s="6"/>
      <c r="M22" s="6"/>
      <c r="N22" s="6"/>
      <c r="O22" s="6"/>
      <c r="P22" s="6"/>
      <c r="Q22" s="6"/>
      <c r="R22" s="6"/>
      <c r="S22" s="6"/>
      <c r="T22" s="6"/>
      <c r="U22" s="6"/>
      <c r="V22" s="6"/>
      <c r="W22" s="6"/>
    </row>
    <row r="23" spans="1:23" x14ac:dyDescent="0.3">
      <c r="A23" s="6"/>
      <c r="B23" s="6"/>
      <c r="C23" s="6"/>
      <c r="D23" s="6"/>
      <c r="E23" s="6"/>
      <c r="F23" s="6"/>
      <c r="G23" s="6"/>
      <c r="H23" s="6"/>
      <c r="I23" s="6"/>
      <c r="J23" s="6"/>
      <c r="K23" s="6"/>
      <c r="L23" s="6"/>
      <c r="M23" s="6"/>
      <c r="N23" s="6"/>
      <c r="O23" s="6"/>
      <c r="P23" s="6"/>
      <c r="Q23" s="6"/>
      <c r="R23" s="6"/>
      <c r="S23" s="6"/>
      <c r="T23" s="6"/>
      <c r="U23" s="6"/>
      <c r="V23" s="6"/>
      <c r="W23" s="6"/>
    </row>
    <row r="24" spans="1:23" x14ac:dyDescent="0.3">
      <c r="A24" s="6"/>
      <c r="B24" s="6"/>
      <c r="C24" s="6"/>
      <c r="D24" s="6"/>
      <c r="E24" s="6"/>
      <c r="F24" s="6"/>
      <c r="G24" s="6"/>
      <c r="H24" s="6"/>
      <c r="I24" s="6"/>
      <c r="J24" s="6"/>
      <c r="K24" s="6"/>
      <c r="L24" s="6"/>
      <c r="M24" s="6"/>
      <c r="N24" s="6"/>
      <c r="O24" s="6"/>
      <c r="P24" s="6"/>
      <c r="Q24" s="6"/>
      <c r="R24" s="6"/>
      <c r="S24" s="6"/>
      <c r="T24" s="6"/>
      <c r="U24" s="6"/>
      <c r="V24" s="6"/>
      <c r="W24" s="6"/>
    </row>
    <row r="25" spans="1:23" x14ac:dyDescent="0.3">
      <c r="A25" s="6"/>
      <c r="B25" s="6"/>
      <c r="C25" s="6"/>
      <c r="D25" s="6"/>
      <c r="E25" s="6"/>
      <c r="F25" s="6"/>
      <c r="G25" s="6"/>
      <c r="H25" s="6"/>
      <c r="I25" s="6"/>
      <c r="J25" s="6"/>
      <c r="K25" s="6"/>
      <c r="L25" s="6"/>
      <c r="M25" s="6"/>
      <c r="N25" s="6"/>
      <c r="O25" s="6"/>
      <c r="P25" s="6"/>
      <c r="Q25" s="6"/>
      <c r="R25" s="6"/>
      <c r="S25" s="6"/>
      <c r="T25" s="6"/>
      <c r="U25" s="6"/>
      <c r="V25" s="6"/>
      <c r="W25" s="6"/>
    </row>
    <row r="26" spans="1:23" x14ac:dyDescent="0.3">
      <c r="A26" s="6"/>
      <c r="B26" s="6"/>
      <c r="C26" s="6"/>
      <c r="D26" s="6"/>
      <c r="E26" s="6"/>
      <c r="F26" s="6"/>
      <c r="G26" s="6"/>
      <c r="H26" s="6"/>
      <c r="I26" s="6"/>
      <c r="J26" s="6"/>
      <c r="K26" s="6"/>
      <c r="L26" s="6"/>
      <c r="M26" s="6"/>
      <c r="N26" s="6"/>
      <c r="O26" s="6"/>
      <c r="P26" s="6"/>
      <c r="Q26" s="6"/>
      <c r="R26" s="6"/>
      <c r="S26" s="6"/>
      <c r="T26" s="6"/>
      <c r="U26" s="6"/>
      <c r="V26" s="6"/>
      <c r="W26" s="6"/>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8DFB8-95C8-492E-A42B-2BCDDA8D50F0}">
  <dimension ref="A1:W26"/>
  <sheetViews>
    <sheetView workbookViewId="0">
      <selection activeCell="C5" sqref="C5"/>
    </sheetView>
  </sheetViews>
  <sheetFormatPr defaultRowHeight="14.4" x14ac:dyDescent="0.3"/>
  <sheetData>
    <row r="1" spans="1:23" x14ac:dyDescent="0.3">
      <c r="A1" s="6"/>
      <c r="B1" s="6"/>
      <c r="C1" s="6"/>
      <c r="D1" s="6"/>
      <c r="E1" s="6"/>
      <c r="F1" s="6"/>
      <c r="G1" s="6"/>
      <c r="H1" s="6"/>
      <c r="I1" s="6"/>
      <c r="J1" s="6"/>
      <c r="K1" s="6"/>
      <c r="L1" s="6"/>
      <c r="M1" s="6"/>
      <c r="N1" s="6"/>
      <c r="O1" s="6"/>
      <c r="P1" s="6"/>
      <c r="Q1" s="6"/>
      <c r="R1" s="6"/>
      <c r="S1" s="6"/>
      <c r="T1" s="6"/>
      <c r="U1" s="6"/>
      <c r="V1" s="6"/>
      <c r="W1" s="6"/>
    </row>
    <row r="2" spans="1:23" x14ac:dyDescent="0.3">
      <c r="A2" s="6"/>
      <c r="B2" s="6"/>
      <c r="C2" s="6"/>
      <c r="D2" s="6"/>
      <c r="E2" s="6"/>
      <c r="F2" s="6"/>
      <c r="G2" s="6"/>
      <c r="H2" s="6"/>
      <c r="I2" s="6"/>
      <c r="J2" s="6"/>
      <c r="K2" s="6"/>
      <c r="L2" s="6"/>
      <c r="M2" s="6"/>
      <c r="N2" s="6"/>
      <c r="O2" s="6"/>
      <c r="P2" s="6"/>
      <c r="Q2" s="6"/>
      <c r="R2" s="6"/>
      <c r="S2" s="6"/>
      <c r="T2" s="6"/>
      <c r="U2" s="6"/>
      <c r="V2" s="6"/>
      <c r="W2" s="6"/>
    </row>
    <row r="3" spans="1:23" x14ac:dyDescent="0.3">
      <c r="A3" s="6"/>
      <c r="B3" s="6"/>
      <c r="C3" s="6"/>
      <c r="D3" s="6"/>
      <c r="E3" s="6"/>
      <c r="F3" s="6"/>
      <c r="G3" s="6"/>
      <c r="H3" s="6"/>
      <c r="I3" s="6"/>
      <c r="J3" s="6"/>
      <c r="K3" s="6"/>
      <c r="L3" s="6"/>
      <c r="M3" s="6"/>
      <c r="N3" s="6"/>
      <c r="O3" s="6"/>
      <c r="P3" s="6"/>
      <c r="Q3" s="6"/>
      <c r="R3" s="6"/>
      <c r="S3" s="6"/>
      <c r="T3" s="6"/>
      <c r="U3" s="6"/>
      <c r="V3" s="6"/>
      <c r="W3" s="6"/>
    </row>
    <row r="4" spans="1:23" x14ac:dyDescent="0.3">
      <c r="A4" s="6"/>
      <c r="B4" s="6"/>
      <c r="C4" s="6"/>
      <c r="D4" s="6"/>
      <c r="E4" s="6"/>
      <c r="F4" s="6"/>
      <c r="G4" s="6"/>
      <c r="H4" s="6"/>
      <c r="I4" s="6"/>
      <c r="J4" s="6"/>
      <c r="K4" s="6"/>
      <c r="L4" s="6"/>
      <c r="M4" s="6"/>
      <c r="N4" s="6"/>
      <c r="O4" s="6"/>
      <c r="P4" s="6"/>
      <c r="Q4" s="6"/>
      <c r="R4" s="6"/>
      <c r="S4" s="6"/>
      <c r="T4" s="6"/>
      <c r="U4" s="6"/>
      <c r="V4" s="6"/>
      <c r="W4" s="6"/>
    </row>
    <row r="5" spans="1:23" x14ac:dyDescent="0.3">
      <c r="A5" s="6"/>
      <c r="B5" s="6"/>
      <c r="C5" s="6"/>
      <c r="D5" s="6"/>
      <c r="E5" s="6"/>
      <c r="F5" s="6"/>
      <c r="G5" s="6"/>
      <c r="H5" s="6"/>
      <c r="I5" s="6"/>
      <c r="J5" s="6"/>
      <c r="K5" s="6"/>
      <c r="L5" s="6"/>
      <c r="M5" s="6"/>
      <c r="N5" s="6"/>
      <c r="O5" s="6"/>
      <c r="P5" s="6"/>
      <c r="Q5" s="6"/>
      <c r="R5" s="6"/>
      <c r="S5" s="6"/>
      <c r="T5" s="6"/>
      <c r="U5" s="6"/>
      <c r="V5" s="6"/>
      <c r="W5" s="6"/>
    </row>
    <row r="6" spans="1:23" x14ac:dyDescent="0.3">
      <c r="A6" s="6"/>
      <c r="B6" s="6"/>
      <c r="C6" s="6"/>
      <c r="D6" s="6"/>
      <c r="E6" s="6"/>
      <c r="F6" s="6"/>
      <c r="G6" s="6"/>
      <c r="H6" s="6"/>
      <c r="I6" s="6"/>
      <c r="J6" s="6"/>
      <c r="K6" s="6"/>
      <c r="L6" s="6"/>
      <c r="M6" s="6"/>
      <c r="N6" s="6"/>
      <c r="O6" s="6"/>
      <c r="P6" s="6"/>
      <c r="Q6" s="6"/>
      <c r="R6" s="6"/>
      <c r="S6" s="6"/>
      <c r="T6" s="6"/>
      <c r="U6" s="6"/>
      <c r="V6" s="6"/>
      <c r="W6" s="6"/>
    </row>
    <row r="7" spans="1:23" x14ac:dyDescent="0.3">
      <c r="A7" s="6"/>
      <c r="B7" s="6"/>
      <c r="C7" s="6"/>
      <c r="D7" s="6"/>
      <c r="E7" s="6"/>
      <c r="F7" s="6"/>
      <c r="G7" s="6"/>
      <c r="H7" s="6"/>
      <c r="I7" s="6"/>
      <c r="J7" s="6"/>
      <c r="K7" s="6"/>
      <c r="L7" s="6"/>
      <c r="M7" s="6"/>
      <c r="N7" s="6"/>
      <c r="O7" s="6"/>
      <c r="P7" s="6"/>
      <c r="Q7" s="6"/>
      <c r="R7" s="6"/>
      <c r="S7" s="6"/>
      <c r="T7" s="6"/>
      <c r="U7" s="6"/>
      <c r="V7" s="6"/>
      <c r="W7" s="6"/>
    </row>
    <row r="8" spans="1:23" x14ac:dyDescent="0.3">
      <c r="A8" s="6"/>
      <c r="B8" s="6"/>
      <c r="C8" s="6"/>
      <c r="D8" s="6"/>
      <c r="E8" s="6"/>
      <c r="F8" s="6"/>
      <c r="G8" s="6"/>
      <c r="H8" s="6"/>
      <c r="I8" s="6"/>
      <c r="J8" s="6"/>
      <c r="K8" s="6"/>
      <c r="L8" s="6"/>
      <c r="M8" s="6"/>
      <c r="N8" s="6"/>
      <c r="O8" s="6"/>
      <c r="P8" s="6"/>
      <c r="Q8" s="6"/>
      <c r="R8" s="6"/>
      <c r="S8" s="6"/>
      <c r="T8" s="6"/>
      <c r="U8" s="6"/>
      <c r="V8" s="6"/>
      <c r="W8" s="6"/>
    </row>
    <row r="9" spans="1:23" x14ac:dyDescent="0.3">
      <c r="A9" s="6"/>
      <c r="B9" s="6"/>
      <c r="C9" s="6"/>
      <c r="D9" s="6"/>
      <c r="E9" s="6"/>
      <c r="F9" s="6"/>
      <c r="G9" s="6"/>
      <c r="H9" s="6"/>
      <c r="I9" s="6"/>
      <c r="J9" s="6"/>
      <c r="K9" s="6"/>
      <c r="L9" s="6"/>
      <c r="M9" s="6"/>
      <c r="N9" s="6"/>
      <c r="O9" s="6"/>
      <c r="P9" s="6"/>
      <c r="Q9" s="6"/>
      <c r="R9" s="6"/>
      <c r="S9" s="6"/>
      <c r="T9" s="6"/>
      <c r="U9" s="6"/>
      <c r="V9" s="6"/>
      <c r="W9" s="6"/>
    </row>
    <row r="10" spans="1:23" x14ac:dyDescent="0.3">
      <c r="A10" s="6"/>
      <c r="B10" s="6"/>
      <c r="C10" s="6"/>
      <c r="D10" s="6"/>
      <c r="E10" s="6"/>
      <c r="F10" s="6"/>
      <c r="G10" s="6"/>
      <c r="H10" s="6"/>
      <c r="I10" s="6"/>
      <c r="J10" s="6"/>
      <c r="K10" s="6"/>
      <c r="L10" s="6"/>
      <c r="M10" s="6"/>
      <c r="N10" s="6"/>
      <c r="O10" s="6"/>
      <c r="P10" s="6"/>
      <c r="Q10" s="6"/>
      <c r="R10" s="6"/>
      <c r="S10" s="6"/>
      <c r="T10" s="6"/>
      <c r="U10" s="6"/>
      <c r="V10" s="6"/>
      <c r="W10" s="6"/>
    </row>
    <row r="11" spans="1:23" x14ac:dyDescent="0.3">
      <c r="A11" s="6"/>
      <c r="B11" s="6"/>
      <c r="C11" s="6"/>
      <c r="D11" s="6"/>
      <c r="E11" s="6"/>
      <c r="F11" s="6"/>
      <c r="G11" s="6"/>
      <c r="H11" s="6"/>
      <c r="I11" s="6"/>
      <c r="J11" s="6"/>
      <c r="K11" s="6"/>
      <c r="L11" s="6"/>
      <c r="M11" s="6"/>
      <c r="N11" s="6"/>
      <c r="O11" s="6"/>
      <c r="P11" s="6"/>
      <c r="Q11" s="6"/>
      <c r="R11" s="6"/>
      <c r="S11" s="6"/>
      <c r="T11" s="6"/>
      <c r="U11" s="6"/>
      <c r="V11" s="6"/>
      <c r="W11" s="6"/>
    </row>
    <row r="12" spans="1:23" x14ac:dyDescent="0.3">
      <c r="A12" s="6"/>
      <c r="B12" s="6"/>
      <c r="C12" s="6"/>
      <c r="D12" s="6"/>
      <c r="E12" s="6"/>
      <c r="F12" s="6"/>
      <c r="G12" s="6"/>
      <c r="H12" s="6"/>
      <c r="I12" s="6"/>
      <c r="J12" s="6"/>
      <c r="K12" s="6"/>
      <c r="L12" s="6"/>
      <c r="M12" s="6"/>
      <c r="N12" s="6"/>
      <c r="O12" s="6"/>
      <c r="P12" s="6"/>
      <c r="Q12" s="6"/>
      <c r="R12" s="6"/>
      <c r="S12" s="6"/>
      <c r="T12" s="6"/>
      <c r="U12" s="6"/>
      <c r="V12" s="6"/>
      <c r="W12" s="6"/>
    </row>
    <row r="13" spans="1:23" x14ac:dyDescent="0.3">
      <c r="A13" s="6"/>
      <c r="B13" s="6"/>
      <c r="C13" s="6"/>
      <c r="D13" s="6"/>
      <c r="E13" s="6"/>
      <c r="F13" s="6"/>
      <c r="G13" s="6"/>
      <c r="H13" s="6"/>
      <c r="I13" s="6"/>
      <c r="J13" s="6"/>
      <c r="K13" s="6"/>
      <c r="L13" s="6"/>
      <c r="M13" s="6"/>
      <c r="N13" s="6"/>
      <c r="O13" s="6"/>
      <c r="P13" s="6"/>
      <c r="Q13" s="6"/>
      <c r="R13" s="6"/>
      <c r="S13" s="6"/>
      <c r="T13" s="6"/>
      <c r="U13" s="6"/>
      <c r="V13" s="6"/>
      <c r="W13" s="6"/>
    </row>
    <row r="14" spans="1:23" x14ac:dyDescent="0.3">
      <c r="A14" s="6"/>
      <c r="B14" s="6"/>
      <c r="C14" s="6"/>
      <c r="D14" s="6"/>
      <c r="E14" s="6"/>
      <c r="F14" s="6"/>
      <c r="G14" s="6"/>
      <c r="H14" s="6"/>
      <c r="I14" s="6"/>
      <c r="J14" s="6"/>
      <c r="K14" s="6"/>
      <c r="L14" s="6"/>
      <c r="M14" s="6"/>
      <c r="N14" s="6"/>
      <c r="O14" s="6"/>
      <c r="P14" s="6"/>
      <c r="Q14" s="6"/>
      <c r="R14" s="6"/>
      <c r="S14" s="6"/>
      <c r="T14" s="6"/>
      <c r="U14" s="6"/>
      <c r="V14" s="6"/>
      <c r="W14" s="6"/>
    </row>
    <row r="15" spans="1:23" x14ac:dyDescent="0.3">
      <c r="A15" s="6"/>
      <c r="B15" s="6"/>
      <c r="C15" s="6"/>
      <c r="D15" s="6"/>
      <c r="E15" s="6"/>
      <c r="F15" s="6"/>
      <c r="G15" s="6"/>
      <c r="H15" s="6"/>
      <c r="I15" s="6"/>
      <c r="J15" s="6"/>
      <c r="K15" s="6"/>
      <c r="L15" s="6"/>
      <c r="M15" s="6"/>
      <c r="N15" s="6"/>
      <c r="O15" s="6"/>
      <c r="P15" s="6"/>
      <c r="Q15" s="6"/>
      <c r="R15" s="6"/>
      <c r="S15" s="6"/>
      <c r="T15" s="6"/>
      <c r="U15" s="6"/>
      <c r="V15" s="6"/>
      <c r="W15" s="6"/>
    </row>
    <row r="16" spans="1:23" x14ac:dyDescent="0.3">
      <c r="A16" s="6"/>
      <c r="B16" s="6"/>
      <c r="C16" s="6"/>
      <c r="D16" s="6"/>
      <c r="E16" s="6"/>
      <c r="F16" s="6"/>
      <c r="G16" s="6"/>
      <c r="H16" s="6"/>
      <c r="I16" s="6"/>
      <c r="J16" s="6"/>
      <c r="K16" s="6"/>
      <c r="L16" s="6"/>
      <c r="M16" s="6"/>
      <c r="N16" s="6"/>
      <c r="O16" s="6"/>
      <c r="P16" s="6"/>
      <c r="Q16" s="6"/>
      <c r="R16" s="6"/>
      <c r="S16" s="6"/>
      <c r="T16" s="6"/>
      <c r="U16" s="6"/>
      <c r="V16" s="6"/>
      <c r="W16" s="6"/>
    </row>
    <row r="17" spans="1:23" x14ac:dyDescent="0.3">
      <c r="A17" s="6"/>
      <c r="B17" s="6"/>
      <c r="C17" s="6"/>
      <c r="D17" s="6"/>
      <c r="E17" s="6"/>
      <c r="F17" s="6"/>
      <c r="G17" s="6"/>
      <c r="H17" s="6"/>
      <c r="I17" s="6"/>
      <c r="J17" s="6"/>
      <c r="K17" s="6"/>
      <c r="L17" s="6"/>
      <c r="M17" s="6"/>
      <c r="N17" s="6"/>
      <c r="O17" s="6"/>
      <c r="P17" s="6"/>
      <c r="Q17" s="6"/>
      <c r="R17" s="6"/>
      <c r="S17" s="6"/>
      <c r="T17" s="6"/>
      <c r="U17" s="6"/>
      <c r="V17" s="6"/>
      <c r="W17" s="6"/>
    </row>
    <row r="18" spans="1:23" x14ac:dyDescent="0.3">
      <c r="A18" s="6"/>
      <c r="B18" s="6"/>
      <c r="C18" s="6"/>
      <c r="D18" s="6"/>
      <c r="E18" s="6"/>
      <c r="F18" s="6"/>
      <c r="G18" s="6"/>
      <c r="H18" s="6"/>
      <c r="I18" s="6"/>
      <c r="J18" s="6"/>
      <c r="K18" s="6"/>
      <c r="L18" s="6"/>
      <c r="M18" s="6"/>
      <c r="N18" s="6"/>
      <c r="O18" s="6"/>
      <c r="P18" s="6"/>
      <c r="Q18" s="6"/>
      <c r="R18" s="6"/>
      <c r="S18" s="6"/>
      <c r="T18" s="6"/>
      <c r="U18" s="6"/>
      <c r="V18" s="6"/>
      <c r="W18" s="6"/>
    </row>
    <row r="19" spans="1:23" x14ac:dyDescent="0.3">
      <c r="A19" s="6"/>
      <c r="B19" s="6"/>
      <c r="C19" s="6"/>
      <c r="D19" s="6"/>
      <c r="E19" s="6"/>
      <c r="F19" s="6"/>
      <c r="G19" s="6"/>
      <c r="H19" s="6"/>
      <c r="I19" s="6"/>
      <c r="J19" s="6"/>
      <c r="K19" s="6"/>
      <c r="L19" s="6"/>
      <c r="M19" s="6"/>
      <c r="N19" s="6"/>
      <c r="O19" s="6"/>
      <c r="P19" s="6"/>
      <c r="Q19" s="6"/>
      <c r="R19" s="6"/>
      <c r="S19" s="6"/>
      <c r="T19" s="6"/>
      <c r="U19" s="6"/>
      <c r="V19" s="6"/>
      <c r="W19" s="6"/>
    </row>
    <row r="20" spans="1:23" x14ac:dyDescent="0.3">
      <c r="A20" s="6"/>
      <c r="B20" s="6"/>
      <c r="C20" s="6"/>
      <c r="D20" s="6"/>
      <c r="E20" s="6"/>
      <c r="F20" s="6"/>
      <c r="G20" s="6"/>
      <c r="H20" s="6"/>
      <c r="I20" s="6"/>
      <c r="J20" s="6"/>
      <c r="K20" s="6"/>
      <c r="L20" s="6"/>
      <c r="M20" s="6"/>
      <c r="N20" s="6"/>
      <c r="O20" s="6"/>
      <c r="P20" s="6"/>
      <c r="Q20" s="6"/>
      <c r="R20" s="6"/>
      <c r="S20" s="6"/>
      <c r="T20" s="6"/>
      <c r="U20" s="6"/>
      <c r="V20" s="6"/>
      <c r="W20" s="6"/>
    </row>
    <row r="21" spans="1:23" x14ac:dyDescent="0.3">
      <c r="A21" s="6"/>
      <c r="B21" s="6"/>
      <c r="C21" s="6"/>
      <c r="D21" s="6"/>
      <c r="E21" s="6"/>
      <c r="F21" s="6"/>
      <c r="G21" s="6"/>
      <c r="H21" s="6"/>
      <c r="I21" s="6"/>
      <c r="J21" s="6"/>
      <c r="K21" s="6"/>
      <c r="L21" s="6"/>
      <c r="M21" s="6"/>
      <c r="N21" s="6"/>
      <c r="O21" s="6"/>
      <c r="P21" s="6"/>
      <c r="Q21" s="6"/>
      <c r="R21" s="6"/>
      <c r="S21" s="6"/>
      <c r="T21" s="6"/>
      <c r="U21" s="6"/>
      <c r="V21" s="6"/>
      <c r="W21" s="6"/>
    </row>
    <row r="22" spans="1:23" x14ac:dyDescent="0.3">
      <c r="A22" s="6"/>
      <c r="B22" s="6"/>
      <c r="C22" s="6"/>
      <c r="D22" s="6"/>
      <c r="E22" s="6"/>
      <c r="F22" s="6"/>
      <c r="G22" s="6"/>
      <c r="H22" s="6"/>
      <c r="I22" s="6"/>
      <c r="J22" s="6"/>
      <c r="K22" s="6"/>
      <c r="L22" s="6"/>
      <c r="M22" s="6"/>
      <c r="N22" s="6"/>
      <c r="O22" s="6"/>
      <c r="P22" s="6"/>
      <c r="Q22" s="6"/>
      <c r="R22" s="6"/>
      <c r="S22" s="6"/>
      <c r="T22" s="6"/>
      <c r="U22" s="6"/>
      <c r="V22" s="6"/>
      <c r="W22" s="6"/>
    </row>
    <row r="23" spans="1:23" x14ac:dyDescent="0.3">
      <c r="A23" s="6"/>
      <c r="B23" s="6"/>
      <c r="C23" s="6"/>
      <c r="D23" s="6"/>
      <c r="E23" s="6"/>
      <c r="F23" s="6"/>
      <c r="G23" s="6"/>
      <c r="H23" s="6"/>
      <c r="I23" s="6"/>
      <c r="J23" s="6"/>
      <c r="K23" s="6"/>
      <c r="L23" s="6"/>
      <c r="M23" s="6"/>
      <c r="N23" s="6"/>
      <c r="O23" s="6"/>
      <c r="P23" s="6"/>
      <c r="Q23" s="6"/>
      <c r="R23" s="6"/>
      <c r="S23" s="6"/>
      <c r="T23" s="6"/>
      <c r="U23" s="6"/>
      <c r="V23" s="6"/>
      <c r="W23" s="6"/>
    </row>
    <row r="24" spans="1:23" x14ac:dyDescent="0.3">
      <c r="A24" s="6"/>
      <c r="B24" s="6"/>
      <c r="C24" s="6"/>
      <c r="D24" s="6"/>
      <c r="E24" s="6"/>
      <c r="F24" s="6"/>
      <c r="G24" s="6"/>
      <c r="H24" s="6"/>
      <c r="I24" s="6"/>
      <c r="J24" s="6"/>
      <c r="K24" s="6"/>
      <c r="L24" s="6"/>
      <c r="M24" s="6"/>
      <c r="N24" s="6"/>
      <c r="O24" s="6"/>
      <c r="P24" s="6"/>
      <c r="Q24" s="6"/>
      <c r="R24" s="6"/>
      <c r="S24" s="6"/>
      <c r="T24" s="6"/>
      <c r="U24" s="6"/>
      <c r="V24" s="6"/>
      <c r="W24" s="6"/>
    </row>
    <row r="25" spans="1:23" x14ac:dyDescent="0.3">
      <c r="A25" s="6"/>
      <c r="B25" s="6"/>
      <c r="C25" s="6"/>
      <c r="D25" s="6"/>
      <c r="E25" s="6"/>
      <c r="F25" s="6"/>
      <c r="G25" s="6"/>
      <c r="H25" s="6"/>
      <c r="I25" s="6"/>
      <c r="J25" s="6"/>
      <c r="K25" s="6"/>
      <c r="L25" s="6"/>
      <c r="M25" s="6"/>
      <c r="N25" s="6"/>
      <c r="O25" s="6"/>
      <c r="P25" s="6"/>
      <c r="Q25" s="6"/>
      <c r="R25" s="6"/>
      <c r="S25" s="6"/>
      <c r="T25" s="6"/>
      <c r="U25" s="6"/>
      <c r="V25" s="6"/>
      <c r="W25" s="6"/>
    </row>
    <row r="26" spans="1:23" x14ac:dyDescent="0.3">
      <c r="A26" s="6"/>
      <c r="B26" s="6"/>
      <c r="C26" s="6"/>
      <c r="D26" s="6"/>
      <c r="E26" s="6"/>
      <c r="F26" s="6"/>
      <c r="G26" s="6"/>
      <c r="H26" s="6"/>
      <c r="I26" s="6"/>
      <c r="J26" s="6"/>
      <c r="K26" s="6"/>
      <c r="L26" s="6"/>
      <c r="M26" s="6"/>
      <c r="N26" s="6"/>
      <c r="O26" s="6"/>
      <c r="P26" s="6"/>
      <c r="Q26" s="6"/>
      <c r="R26" s="6"/>
      <c r="S26" s="6"/>
      <c r="T26" s="6"/>
      <c r="U26" s="6"/>
      <c r="V26" s="6"/>
      <c r="W26" s="6"/>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5397FCC1-628C-454B-BC51-482DAEBAB02E}">
  <ds:schemaRefs>
    <ds:schemaRef ds:uri="http://schemas.microsoft.com/DataMashup"/>
  </ds:schemaRefs>
</ds:datastoreItem>
</file>

<file path=customXml/itemProps2.xml><?xml version="1.0" encoding="utf-8"?>
<ds:datastoreItem xmlns:ds="http://schemas.openxmlformats.org/officeDocument/2006/customXml" ds:itemID="{778D4240-FD51-48E6-B860-E9C97AB591C1}">
  <ds:schemaRefs/>
</ds:datastoreItem>
</file>

<file path=customXml/itemProps3.xml><?xml version="1.0" encoding="utf-8"?>
<ds:datastoreItem xmlns:ds="http://schemas.openxmlformats.org/officeDocument/2006/customXml" ds:itemID="{DD80E19C-2053-45F5-B50F-FE6230B05BA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Daily ER No of Patient</vt:lpstr>
      <vt:lpstr>Average Wait Time</vt:lpstr>
      <vt:lpstr>Satisfaction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 Pawaskar</dc:creator>
  <cp:lastModifiedBy>Sumeet Pawaskar</cp:lastModifiedBy>
  <dcterms:created xsi:type="dcterms:W3CDTF">2025-07-16T06:58:57Z</dcterms:created>
  <dcterms:modified xsi:type="dcterms:W3CDTF">2026-01-15T08:53:48Z</dcterms:modified>
</cp:coreProperties>
</file>